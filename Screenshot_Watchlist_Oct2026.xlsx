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tchlist" sheetId="1" state="visible" r:id="rId3"/>
    <sheet name="Key &amp; Sources" sheetId="2" state="visible" r:id="rId4"/>
  </sheets>
  <definedNames>
    <definedName function="false" hidden="true" localSheetId="0" name="_xlnm._FilterDatabase" vbProcedure="false">Watchlist!$A$1:$Q$102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<sst xmlns="http://schemas.openxmlformats.org/spreadsheetml/2006/main" count="1479" uniqueCount="490">
  <si>
    <t xml:space="preserve">#</t>
  </si>
  <si>
    <t xml:space="preserve">Title</t>
  </si>
  <si>
    <t xml:space="preserve">Year</t>
  </si>
  <si>
    <t xml:space="preserve">Type</t>
  </si>
  <si>
    <t xml:space="preserve">Original Language</t>
  </si>
  <si>
    <t xml:space="preserve">Genre</t>
  </si>
  <si>
    <t xml:space="preserve">IMDb Rating</t>
  </si>
  <si>
    <t xml:space="preserve">IMDb Votes (approx.)</t>
  </si>
  <si>
    <t xml:space="preserve">Hindi Audio</t>
  </si>
  <si>
    <t xml:space="preserve">OTT – Streaming (India)</t>
  </si>
  <si>
    <t xml:space="preserve">Rent / Buy (India)</t>
  </si>
  <si>
    <t xml:space="preserve">Screenshot Topic</t>
  </si>
  <si>
    <t xml:space="preserve">Status</t>
  </si>
  <si>
    <t xml:space="preserve">Your Rating</t>
  </si>
  <si>
    <t xml:space="preserve">Suggested Priority</t>
  </si>
  <si>
    <t xml:space="preserve">Notes</t>
  </si>
  <si>
    <t xml:space="preserve">Where to Watch</t>
  </si>
  <si>
    <t xml:space="preserve">The Shawshank Redemption</t>
  </si>
  <si>
    <t xml:space="preserve">1994</t>
  </si>
  <si>
    <t xml:space="preserve">Movie</t>
  </si>
  <si>
    <t xml:space="preserve">English</t>
  </si>
  <si>
    <t xml:space="preserve">Drama</t>
  </si>
  <si>
    <t xml:space="preserve">~3M</t>
  </si>
  <si>
    <t xml:space="preserve">Unconfirmed</t>
  </si>
  <si>
    <t xml:space="preserve">Not streaming in India</t>
  </si>
  <si>
    <t xml:space="preserve">Prime Video Store, Apple TV</t>
  </si>
  <si>
    <t xml:space="preserve">Top 20 Hollywood Movies – Must-Watch List</t>
  </si>
  <si>
    <t xml:space="preserve">Not watched</t>
  </si>
  <si>
    <t xml:space="preserve">Low</t>
  </si>
  <si>
    <t xml:space="preserve">Rent only in India; slow-burn prison drama.</t>
  </si>
  <si>
    <t xml:space="preserve">JustWatch</t>
  </si>
  <si>
    <t xml:space="preserve">The Dark Knight</t>
  </si>
  <si>
    <t xml:space="preserve">2008</t>
  </si>
  <si>
    <t xml:space="preserve">Action, Crime, Thriller</t>
  </si>
  <si>
    <t xml:space="preserve">Likely</t>
  </si>
  <si>
    <t xml:space="preserve">Prime Video, JioHotstar</t>
  </si>
  <si>
    <t xml:space="preserve">Watched</t>
  </si>
  <si>
    <t xml:space="preserve">—</t>
  </si>
  <si>
    <t xml:space="preserve">Inception</t>
  </si>
  <si>
    <t xml:space="preserve">2010</t>
  </si>
  <si>
    <t xml:space="preserve">Sci-Fi, Action, Thriller</t>
  </si>
  <si>
    <t xml:space="preserve">~2M</t>
  </si>
  <si>
    <t xml:space="preserve">Interstellar</t>
  </si>
  <si>
    <t xml:space="preserve">2014</t>
  </si>
  <si>
    <t xml:space="preserve">Sci-Fi, Adventure, Drama</t>
  </si>
  <si>
    <t xml:space="preserve">Top 20 Hollywood Movies – Must-Watch List; Best Space Adventure Films</t>
  </si>
  <si>
    <t xml:space="preserve">Appears in two screenshots.</t>
  </si>
  <si>
    <t xml:space="preserve">The Matrix</t>
  </si>
  <si>
    <t xml:space="preserve">1999</t>
  </si>
  <si>
    <t xml:space="preserve">Sci-Fi, Action</t>
  </si>
  <si>
    <t xml:space="preserve">High</t>
  </si>
  <si>
    <t xml:space="preserve">Mind-bending sci-fi action — closest in spirit to Inception.</t>
  </si>
  <si>
    <t xml:space="preserve">The Green Mile</t>
  </si>
  <si>
    <t xml:space="preserve">Drama, Fantasy, Crime</t>
  </si>
  <si>
    <t xml:space="preserve">3-hour emotional drama; rent only.</t>
  </si>
  <si>
    <t xml:space="preserve">Saving Private Ryan</t>
  </si>
  <si>
    <t xml:space="preserve">1998</t>
  </si>
  <si>
    <t xml:space="preserve">War, Drama</t>
  </si>
  <si>
    <t xml:space="preserve">JioHotstar</t>
  </si>
  <si>
    <t xml:space="preserve">Prime Video Store, Apple TV, Zee5</t>
  </si>
  <si>
    <t xml:space="preserve">Medium</t>
  </si>
  <si>
    <t xml:space="preserve">Intense war film (you liked Sisu).</t>
  </si>
  <si>
    <t xml:space="preserve">The Departed</t>
  </si>
  <si>
    <t xml:space="preserve">2006</t>
  </si>
  <si>
    <t xml:space="preserve">Crime, Thriller</t>
  </si>
  <si>
    <t xml:space="preserve">Prime Video</t>
  </si>
  <si>
    <t xml:space="preserve">Apple TV</t>
  </si>
  <si>
    <t xml:space="preserve">Gladiator</t>
  </si>
  <si>
    <t xml:space="preserve">2000</t>
  </si>
  <si>
    <t xml:space="preserve">Action, Drama, History</t>
  </si>
  <si>
    <t xml:space="preserve">~1M</t>
  </si>
  <si>
    <t xml:space="preserve">Revenge epic — fits your revenge-thriller favourites.</t>
  </si>
  <si>
    <t xml:space="preserve">The Prestige</t>
  </si>
  <si>
    <t xml:space="preserve">Mystery, Thriller, Drama</t>
  </si>
  <si>
    <t xml:space="preserve">No (verified)</t>
  </si>
  <si>
    <t xml:space="preserve">Netflix</t>
  </si>
  <si>
    <t xml:space="preserve">Netflix India audio: English only — matches your own note.</t>
  </si>
  <si>
    <t xml:space="preserve">The Lord of the Rings: The Fellowship of the Ring</t>
  </si>
  <si>
    <t xml:space="preserve">2001</t>
  </si>
  <si>
    <t xml:space="preserve">Fantasy, Adventure</t>
  </si>
  <si>
    <t xml:space="preserve">Yes (verified)</t>
  </si>
  <si>
    <t xml:space="preserve">Netflix, JioHotstar, Vi Movies &amp; TV</t>
  </si>
  <si>
    <t xml:space="preserve">Netflix India audio: English, Hindi. Long (3h) fantasy.</t>
  </si>
  <si>
    <t xml:space="preserve">Forrest Gump</t>
  </si>
  <si>
    <t xml:space="preserve">Drama, Romance</t>
  </si>
  <si>
    <t xml:space="preserve">Laal Singh Chaddha is its Hindi remake.</t>
  </si>
  <si>
    <t xml:space="preserve">The Wolf of Wall Street</t>
  </si>
  <si>
    <t xml:space="preserve">2013</t>
  </si>
  <si>
    <t xml:space="preserve">Biography, Crime, Comedy</t>
  </si>
  <si>
    <t xml:space="preserve">Lionsgate Play; JioHotstar (free with ads)</t>
  </si>
  <si>
    <t xml:space="preserve">Adult 3-hour comedy-drama.</t>
  </si>
  <si>
    <t xml:space="preserve">The Truman Show</t>
  </si>
  <si>
    <t xml:space="preserve">Comedy, Drama, Sci-Fi</t>
  </si>
  <si>
    <t xml:space="preserve">Rent only.</t>
  </si>
  <si>
    <t xml:space="preserve">Shutter Island</t>
  </si>
  <si>
    <t xml:space="preserve">Mystery, Psychological Thriller</t>
  </si>
  <si>
    <t xml:space="preserve">JioHotstar, Vi Movies &amp; TV</t>
  </si>
  <si>
    <t xml:space="preserve">Prisoners</t>
  </si>
  <si>
    <t xml:space="preserve">Crime, Mystery, Thriller</t>
  </si>
  <si>
    <t xml:space="preserve">965K</t>
  </si>
  <si>
    <t xml:space="preserve">The Terminator</t>
  </si>
  <si>
    <t xml:space="preserve">1984</t>
  </si>
  <si>
    <t xml:space="preserve">Action, Sci-Fi</t>
  </si>
  <si>
    <t xml:space="preserve">Prime Video Store</t>
  </si>
  <si>
    <t xml:space="preserve">1984 original — dated effects; check Hindi in Prime Video.</t>
  </si>
  <si>
    <t xml:space="preserve">Mad Max: Fury Road</t>
  </si>
  <si>
    <t xml:space="preserve">2015</t>
  </si>
  <si>
    <t xml:space="preserve">Action, Adventure, Sci-Fi</t>
  </si>
  <si>
    <t xml:space="preserve">Prime Video, JioHotstar, Vi Movies &amp; TV</t>
  </si>
  <si>
    <t xml:space="preserve">Non-stop action, very fast-paced.</t>
  </si>
  <si>
    <t xml:space="preserve">The Sixth Sense</t>
  </si>
  <si>
    <t xml:space="preserve">Famous twist ending; not on any Indian service right now.</t>
  </si>
  <si>
    <t xml:space="preserve">Edge of Tomorrow</t>
  </si>
  <si>
    <t xml:space="preserve">820K</t>
  </si>
  <si>
    <t xml:space="preserve">Netflix, Prime Video</t>
  </si>
  <si>
    <t xml:space="preserve">Netflix India audio: English, Hindi. Time-loop action.</t>
  </si>
  <si>
    <t xml:space="preserve">Contact</t>
  </si>
  <si>
    <t xml:space="preserve">1997</t>
  </si>
  <si>
    <t xml:space="preserve">Sci-Fi, Drama, Mystery</t>
  </si>
  <si>
    <t xml:space="preserve">317K</t>
  </si>
  <si>
    <t xml:space="preserve">Mysterious Alien Signals &amp; First Contact</t>
  </si>
  <si>
    <t xml:space="preserve">Slow, cerebral; rent only.</t>
  </si>
  <si>
    <t xml:space="preserve">The Day the Earth Stood Still</t>
  </si>
  <si>
    <t xml:space="preserve">1951</t>
  </si>
  <si>
    <t xml:space="preserve">Sci-Fi, Drama</t>
  </si>
  <si>
    <t xml:space="preserve">90K</t>
  </si>
  <si>
    <t xml:space="preserve">No</t>
  </si>
  <si>
    <t xml:space="preserve">Cultpix</t>
  </si>
  <si>
    <t xml:space="preserve">B&amp;W original (matches the poster style). The 2008 Keanu Reeves remake: IMDb 5.5, not streaming in India.</t>
  </si>
  <si>
    <t xml:space="preserve">The Vast of Night</t>
  </si>
  <si>
    <t xml:space="preserve">2019</t>
  </si>
  <si>
    <t xml:space="preserve">Sci-Fi, Mystery</t>
  </si>
  <si>
    <t xml:space="preserve">51K</t>
  </si>
  <si>
    <t xml:space="preserve">Slow, dialogue-heavy indie.</t>
  </si>
  <si>
    <t xml:space="preserve">Starman</t>
  </si>
  <si>
    <t xml:space="preserve">Sci-Fi, Romance</t>
  </si>
  <si>
    <t xml:space="preserve">59K</t>
  </si>
  <si>
    <t xml:space="preserve">Netflix India audio: English, Hindi. 80s sci-fi romance.</t>
  </si>
  <si>
    <t xml:space="preserve">Arrival</t>
  </si>
  <si>
    <t xml:space="preserve">2016</t>
  </si>
  <si>
    <t xml:space="preserve">884K</t>
  </si>
  <si>
    <t xml:space="preserve">Lionsgate Play</t>
  </si>
  <si>
    <t xml:space="preserve">Brilliant twist ending but slow-paced; check Hindi in Lionsgate Play.</t>
  </si>
  <si>
    <t xml:space="preserve">The Abyss</t>
  </si>
  <si>
    <t xml:space="preserve">1989</t>
  </si>
  <si>
    <t xml:space="preserve">Sci-Fi, Adventure, Thriller</t>
  </si>
  <si>
    <t xml:space="preserve">211K</t>
  </si>
  <si>
    <t xml:space="preserve">Midnight Special</t>
  </si>
  <si>
    <t xml:space="preserve">85K</t>
  </si>
  <si>
    <t xml:space="preserve">Signs</t>
  </si>
  <si>
    <t xml:space="preserve">2002</t>
  </si>
  <si>
    <t xml:space="preserve">Sci-Fi, Mystery, Horror</t>
  </si>
  <si>
    <t xml:space="preserve">420K</t>
  </si>
  <si>
    <t xml:space="preserve">Horror-leaning.</t>
  </si>
  <si>
    <t xml:space="preserve">Annihilation</t>
  </si>
  <si>
    <t xml:space="preserve">2018</t>
  </si>
  <si>
    <t xml:space="preserve">Sci-Fi, Horror, Mystery</t>
  </si>
  <si>
    <t xml:space="preserve">399K</t>
  </si>
  <si>
    <t xml:space="preserve">Horror-leaning sci-fi.</t>
  </si>
  <si>
    <t xml:space="preserve">The Da Vinci Code</t>
  </si>
  <si>
    <t xml:space="preserve">Mystery, Thriller</t>
  </si>
  <si>
    <t xml:space="preserve">491K</t>
  </si>
  <si>
    <t xml:space="preserve">Sony LIV</t>
  </si>
  <si>
    <t xml:space="preserve">Apple TV, Zee5</t>
  </si>
  <si>
    <t xml:space="preserve">Secret Societies, Conspiracies &amp; Treasure Hunts (collage, no caption)</t>
  </si>
  <si>
    <t xml:space="preserve">Puzzle / conspiracy thriller (Robert Langdon #1).</t>
  </si>
  <si>
    <t xml:space="preserve">Angels &amp; Demons</t>
  </si>
  <si>
    <t xml:space="preserve">2009</t>
  </si>
  <si>
    <t xml:space="preserve">Mystery, Thriller, Action</t>
  </si>
  <si>
    <t xml:space="preserve">328K</t>
  </si>
  <si>
    <t xml:space="preserve">Langdon #2 — faster-paced than The Da Vinci Code.</t>
  </si>
  <si>
    <t xml:space="preserve">The Skulls</t>
  </si>
  <si>
    <t xml:space="preserve">Thriller, Mystery</t>
  </si>
  <si>
    <t xml:space="preserve">36K</t>
  </si>
  <si>
    <t xml:space="preserve">The Skulls II</t>
  </si>
  <si>
    <t xml:space="preserve">Thriller</t>
  </si>
  <si>
    <t xml:space="preserve">3.4K</t>
  </si>
  <si>
    <t xml:space="preserve">Direct-to-video sequel.</t>
  </si>
  <si>
    <t xml:space="preserve">The Skulls III</t>
  </si>
  <si>
    <t xml:space="preserve">2004</t>
  </si>
  <si>
    <t xml:space="preserve">2.1K</t>
  </si>
  <si>
    <t xml:space="preserve">As Above, So Below</t>
  </si>
  <si>
    <t xml:space="preserve">Horror, Mystery, Thriller</t>
  </si>
  <si>
    <t xml:space="preserve">134K</t>
  </si>
  <si>
    <t xml:space="preserve">Found-footage horror.</t>
  </si>
  <si>
    <t xml:space="preserve">The Pyramid</t>
  </si>
  <si>
    <t xml:space="preserve">Horror</t>
  </si>
  <si>
    <t xml:space="preserve">30K</t>
  </si>
  <si>
    <t xml:space="preserve">Found-footage horror; poorly rated.</t>
  </si>
  <si>
    <t xml:space="preserve">National Treasure</t>
  </si>
  <si>
    <t xml:space="preserve">Adventure, Action, Mystery</t>
  </si>
  <si>
    <t xml:space="preserve">383K</t>
  </si>
  <si>
    <t xml:space="preserve">Fun clue-hunt adventure.</t>
  </si>
  <si>
    <t xml:space="preserve">The Librarian: Quest for the Spear</t>
  </si>
  <si>
    <t xml:space="preserve">TV Movie</t>
  </si>
  <si>
    <t xml:space="preserve">Adventure, Fantasy, Comedy</t>
  </si>
  <si>
    <t xml:space="preserve">24K</t>
  </si>
  <si>
    <t xml:space="preserve">The Covenant</t>
  </si>
  <si>
    <t xml:space="preserve">Fantasy, Horror, Thriller</t>
  </si>
  <si>
    <t xml:space="preserve">56K</t>
  </si>
  <si>
    <t xml:space="preserve">Sony Pictures channel on Prime Video</t>
  </si>
  <si>
    <t xml:space="preserve">Renny Harlin's 2006 supernatural film (not Guy Ritchie's 2023 The Covenant).</t>
  </si>
  <si>
    <t xml:space="preserve">The Maze Runner</t>
  </si>
  <si>
    <t xml:space="preserve">Sci-Fi, Action, Mystery</t>
  </si>
  <si>
    <t xml:space="preserve">521K</t>
  </si>
  <si>
    <t xml:space="preserve">YA sci-fi; first of a trilogy.</t>
  </si>
  <si>
    <t xml:space="preserve">The Lost City of Z</t>
  </si>
  <si>
    <t xml:space="preserve">Adventure, Biography, Drama</t>
  </si>
  <si>
    <t xml:space="preserve">108K</t>
  </si>
  <si>
    <t xml:space="preserve">Slow-burn true story.</t>
  </si>
  <si>
    <t xml:space="preserve">The Invisible Guest</t>
  </si>
  <si>
    <t xml:space="preserve">Spanish</t>
  </si>
  <si>
    <t xml:space="preserve">Mystery, Thriller, Crime</t>
  </si>
  <si>
    <t xml:space="preserve">218K</t>
  </si>
  <si>
    <t xml:space="preserve">Twisty Mystery Thrillers (collage, no caption); Underrated Mystery Movies</t>
  </si>
  <si>
    <t xml:space="preserve">aka Contratiempo. You also saw its Hindi remake, Badla.</t>
  </si>
  <si>
    <t xml:space="preserve">The Body</t>
  </si>
  <si>
    <t xml:space="preserve">2012</t>
  </si>
  <si>
    <t xml:space="preserve">81K</t>
  </si>
  <si>
    <t xml:space="preserve">aka El cuerpo. Same director as The Invisible Guest; no Hindi (as you noted).</t>
  </si>
  <si>
    <t xml:space="preserve">Forgotten</t>
  </si>
  <si>
    <t xml:space="preserve">2017</t>
  </si>
  <si>
    <t xml:space="preserve">Korean</t>
  </si>
  <si>
    <t xml:space="preserve">65K</t>
  </si>
  <si>
    <t xml:space="preserve">Netflix India audio: Korean only.</t>
  </si>
  <si>
    <t xml:space="preserve">Fractured</t>
  </si>
  <si>
    <t xml:space="preserve">117K</t>
  </si>
  <si>
    <t xml:space="preserve">Twisty Mystery Thrillers (collage, no caption)</t>
  </si>
  <si>
    <t xml:space="preserve">Netflix India audio: English only (Hindi subtitles available).</t>
  </si>
  <si>
    <t xml:space="preserve">Side Effects</t>
  </si>
  <si>
    <t xml:space="preserve">207K</t>
  </si>
  <si>
    <t xml:space="preserve">Twisty, but not on any Indian service.</t>
  </si>
  <si>
    <t xml:space="preserve">Searching</t>
  </si>
  <si>
    <t xml:space="preserve">196K</t>
  </si>
  <si>
    <t xml:space="preserve">Sony LIV, Vi Movies &amp; TV</t>
  </si>
  <si>
    <t xml:space="preserve">Fast and very twisty; check Hindi in Sony LIV.</t>
  </si>
  <si>
    <t xml:space="preserve">Mirage</t>
  </si>
  <si>
    <t xml:space="preserve">Mystery, Sci-Fi, Thriller</t>
  </si>
  <si>
    <t xml:space="preserve">73K</t>
  </si>
  <si>
    <t xml:space="preserve">aka Durante la tormenta. Same director as The Invisible Guest (Oriol Paulo). Netflix India audio includes Hindi.</t>
  </si>
  <si>
    <t xml:space="preserve">The Guilty</t>
  </si>
  <si>
    <t xml:space="preserve">Danish</t>
  </si>
  <si>
    <t xml:space="preserve">70K</t>
  </si>
  <si>
    <t xml:space="preserve">aka Den skyldige. The 2021 Jake Gyllenhaal remake is a Netflix film.</t>
  </si>
  <si>
    <t xml:space="preserve">The Secret in Their Eyes</t>
  </si>
  <si>
    <t xml:space="preserve">Mystery, Drama, Thriller</t>
  </si>
  <si>
    <t xml:space="preserve">246K</t>
  </si>
  <si>
    <t xml:space="preserve">Argentine Oscar winner; a 2015 Hollywood remake exists.</t>
  </si>
  <si>
    <t xml:space="preserve">The Invitation</t>
  </si>
  <si>
    <t xml:space="preserve">Horror, Thriller</t>
  </si>
  <si>
    <t xml:space="preserve">121K</t>
  </si>
  <si>
    <t xml:space="preserve">Slow-burn horror thriller.</t>
  </si>
  <si>
    <t xml:space="preserve">Exam</t>
  </si>
  <si>
    <t xml:space="preserve">137K</t>
  </si>
  <si>
    <t xml:space="preserve">Single-room puzzle thriller.</t>
  </si>
  <si>
    <t xml:space="preserve">The Treatment</t>
  </si>
  <si>
    <t xml:space="preserve">Dutch</t>
  </si>
  <si>
    <t xml:space="preserve">11K</t>
  </si>
  <si>
    <t xml:space="preserve">aka De Behandeling (Belgium). Very dark; not available in India.</t>
  </si>
  <si>
    <t xml:space="preserve">Gravity</t>
  </si>
  <si>
    <t xml:space="preserve">Sci-Fi, Thriller</t>
  </si>
  <si>
    <t xml:space="preserve">908K</t>
  </si>
  <si>
    <t xml:space="preserve">Best Space Adventure Films</t>
  </si>
  <si>
    <t xml:space="preserve">91-minute edge-of-seat survival thriller.</t>
  </si>
  <si>
    <t xml:space="preserve">Prometheus</t>
  </si>
  <si>
    <t xml:space="preserve">707K</t>
  </si>
  <si>
    <t xml:space="preserve">Alien prequel; some horror.</t>
  </si>
  <si>
    <t xml:space="preserve">Sunshine</t>
  </si>
  <si>
    <t xml:space="preserve">2007</t>
  </si>
  <si>
    <t xml:space="preserve">291K</t>
  </si>
  <si>
    <t xml:space="preserve">The Martian</t>
  </si>
  <si>
    <t xml:space="preserve">One of your favourites.</t>
  </si>
  <si>
    <t xml:space="preserve">Ad Astra</t>
  </si>
  <si>
    <t xml:space="preserve">264K</t>
  </si>
  <si>
    <t xml:space="preserve">Slow and meditative.</t>
  </si>
  <si>
    <t xml:space="preserve">First Man</t>
  </si>
  <si>
    <t xml:space="preserve">Biography, Drama, History</t>
  </si>
  <si>
    <t xml:space="preserve">219K</t>
  </si>
  <si>
    <t xml:space="preserve">Neil Armstrong biopic; slow.</t>
  </si>
  <si>
    <t xml:space="preserve">Passengers</t>
  </si>
  <si>
    <t xml:space="preserve">Sci-Fi, Romance, Drama</t>
  </si>
  <si>
    <t xml:space="preserve">505K</t>
  </si>
  <si>
    <t xml:space="preserve">Vi Movies &amp; TV</t>
  </si>
  <si>
    <t xml:space="preserve">Zee5, Prime Video Store, Apple TV</t>
  </si>
  <si>
    <t xml:space="preserve">2001: A Space Odyssey</t>
  </si>
  <si>
    <t xml:space="preserve">1968</t>
  </si>
  <si>
    <t xml:space="preserve">Sci-Fi, Adventure</t>
  </si>
  <si>
    <t xml:space="preserve">796K</t>
  </si>
  <si>
    <t xml:space="preserve">Very slow classic.</t>
  </si>
  <si>
    <t xml:space="preserve">Identity</t>
  </si>
  <si>
    <t xml:space="preserve">2003</t>
  </si>
  <si>
    <t xml:space="preserve">272K</t>
  </si>
  <si>
    <t xml:space="preserve">Underrated Mystery Movies</t>
  </si>
  <si>
    <t xml:space="preserve">Big twist ending you'd likely enjoy — but rent only.</t>
  </si>
  <si>
    <t xml:space="preserve">Marshland</t>
  </si>
  <si>
    <t xml:space="preserve">37K</t>
  </si>
  <si>
    <t xml:space="preserve">aka La isla mínima.</t>
  </si>
  <si>
    <t xml:space="preserve">Tell No One</t>
  </si>
  <si>
    <t xml:space="preserve">French</t>
  </si>
  <si>
    <t xml:space="preserve">62K</t>
  </si>
  <si>
    <t xml:space="preserve">aka Ne le dis à personne.</t>
  </si>
  <si>
    <t xml:space="preserve">The Dry</t>
  </si>
  <si>
    <t xml:space="preserve">2020</t>
  </si>
  <si>
    <t xml:space="preserve">Crime, Mystery, Drama</t>
  </si>
  <si>
    <t xml:space="preserve">42K</t>
  </si>
  <si>
    <t xml:space="preserve">The Vanishing</t>
  </si>
  <si>
    <t xml:space="preserve">1988</t>
  </si>
  <si>
    <t xml:space="preserve">aka Spoorloos (a 1993 US remake exists).</t>
  </si>
  <si>
    <t xml:space="preserve">Predestination</t>
  </si>
  <si>
    <t xml:space="preserve">342K</t>
  </si>
  <si>
    <t xml:space="preserve">Time Loops &amp; Time Travel (collage, posted twice)</t>
  </si>
  <si>
    <t xml:space="preserve">Mind-bending time-travel twist — High if Prime Video has Hindi.</t>
  </si>
  <si>
    <t xml:space="preserve">Looper</t>
  </si>
  <si>
    <t xml:space="preserve">634K</t>
  </si>
  <si>
    <t xml:space="preserve">Timecrimes</t>
  </si>
  <si>
    <t xml:space="preserve">77K</t>
  </si>
  <si>
    <t xml:space="preserve">aka Los cronocrímenes.</t>
  </si>
  <si>
    <t xml:space="preserve">Triangle</t>
  </si>
  <si>
    <t xml:space="preserve">Mystery, Thriller, Horror</t>
  </si>
  <si>
    <t xml:space="preserve">153K</t>
  </si>
  <si>
    <t xml:space="preserve">Horror-leaning time loop.</t>
  </si>
  <si>
    <t xml:space="preserve">ARQ</t>
  </si>
  <si>
    <t xml:space="preserve">45K</t>
  </si>
  <si>
    <t xml:space="preserve">Netflix India audio: English only.</t>
  </si>
  <si>
    <t xml:space="preserve">The Endless</t>
  </si>
  <si>
    <t xml:space="preserve">58K</t>
  </si>
  <si>
    <t xml:space="preserve">Flashback</t>
  </si>
  <si>
    <t xml:space="preserve">8K</t>
  </si>
  <si>
    <t xml:space="preserve">Dylan O'Brien; aka The Education of Fredrick Fitzell.</t>
  </si>
  <si>
    <t xml:space="preserve">The Fare</t>
  </si>
  <si>
    <t xml:space="preserve">Sci-Fi, Romance, Mystery</t>
  </si>
  <si>
    <t xml:space="preserve">4.4K</t>
  </si>
  <si>
    <t xml:space="preserve">Micro-budget indie.</t>
  </si>
  <si>
    <t xml:space="preserve">The Map of Tiny Perfect Things</t>
  </si>
  <si>
    <t xml:space="preserve">2021</t>
  </si>
  <si>
    <t xml:space="preserve">Romance, Comedy, Fantasy</t>
  </si>
  <si>
    <t xml:space="preserve">34K</t>
  </si>
  <si>
    <t xml:space="preserve">Teen time-loop rom-com.</t>
  </si>
  <si>
    <t xml:space="preserve">Unmadham</t>
  </si>
  <si>
    <t xml:space="preserve">2026</t>
  </si>
  <si>
    <t xml:space="preserve">Malayalam</t>
  </si>
  <si>
    <t xml:space="preserve">Crime, Mystery, Psychological Thriller</t>
  </si>
  <si>
    <t xml:space="preserve">2K</t>
  </si>
  <si>
    <t xml:space="preserve">New South Mystery Thrillers in Hindi – September Edition</t>
  </si>
  <si>
    <t xml:space="preserve">Kunchacko Boban, Lijomol Jose; dir. Kiran Das. In theatres 7 Aug 2026, on Sony LIV from 4 Sep 2026 with Hindi, Tamil, Telugu, Kannada versions. Only this poster is visible in the reel.</t>
  </si>
  <si>
    <t xml:space="preserve">The Night Agent</t>
  </si>
  <si>
    <t xml:space="preserve">2023–</t>
  </si>
  <si>
    <t xml:space="preserve">Web Series</t>
  </si>
  <si>
    <t xml:space="preserve">Action, Thriller</t>
  </si>
  <si>
    <t xml:space="preserve">165K</t>
  </si>
  <si>
    <t xml:space="preserve">Top 25 Action Web Series</t>
  </si>
  <si>
    <t xml:space="preserve">3 seasons. Netflix India audio includes Hindi.</t>
  </si>
  <si>
    <t xml:space="preserve">Tom Clancy's Jack Ryan</t>
  </si>
  <si>
    <t xml:space="preserve">2018–2023</t>
  </si>
  <si>
    <t xml:space="preserve">Action, Spy Thriller</t>
  </si>
  <si>
    <t xml:space="preserve">4 seasons. Prime Video announced Hindi, Tamil, Telugu versions.</t>
  </si>
  <si>
    <t xml:space="preserve">Money Heist</t>
  </si>
  <si>
    <t xml:space="preserve">2017–2021</t>
  </si>
  <si>
    <t xml:space="preserve">Crime, Heist, Thriller</t>
  </si>
  <si>
    <t xml:space="preserve">622K</t>
  </si>
  <si>
    <t xml:space="preserve">aka La casa de papel. Netflix India audio includes Hindi.</t>
  </si>
  <si>
    <t xml:space="preserve">The Boys</t>
  </si>
  <si>
    <t xml:space="preserve">2019–2026</t>
  </si>
  <si>
    <t xml:space="preserve">Action, Superhero, Dark Comedy</t>
  </si>
  <si>
    <t xml:space="preserve">Hindi dub voiced by Arjun Kapoor, Rajkummar Rao, Disha Patani. Superhero satire, very violent.</t>
  </si>
  <si>
    <t xml:space="preserve">Peaky Blinders</t>
  </si>
  <si>
    <t xml:space="preserve">2013–2022</t>
  </si>
  <si>
    <t xml:space="preserve">Crime, Drama</t>
  </si>
  <si>
    <t xml:space="preserve">795K</t>
  </si>
  <si>
    <t xml:space="preserve">Netflix India page shows no audio list — check in the app.</t>
  </si>
  <si>
    <t xml:space="preserve">Vikings</t>
  </si>
  <si>
    <t xml:space="preserve">2013–2020</t>
  </si>
  <si>
    <t xml:space="preserve">652K</t>
  </si>
  <si>
    <t xml:space="preserve">6 seasons. Netflix India audio: English, Hindi.</t>
  </si>
  <si>
    <t xml:space="preserve">Prison Break</t>
  </si>
  <si>
    <t xml:space="preserve">2005–2017</t>
  </si>
  <si>
    <t xml:space="preserve">594K</t>
  </si>
  <si>
    <t xml:space="preserve">Fast and twisty — High if JioHotstar has Hindi.</t>
  </si>
  <si>
    <t xml:space="preserve">The Terminal List</t>
  </si>
  <si>
    <t xml:space="preserve">2022–</t>
  </si>
  <si>
    <t xml:space="preserve">132K</t>
  </si>
  <si>
    <t xml:space="preserve">Revenge thriller. Prime Video lists it in Hindi plus 4 other Indian languages.</t>
  </si>
  <si>
    <t xml:space="preserve">Bodyguard</t>
  </si>
  <si>
    <t xml:space="preserve">174K</t>
  </si>
  <si>
    <t xml:space="preserve">The Last of Us</t>
  </si>
  <si>
    <t xml:space="preserve">Drama, Action, Horror</t>
  </si>
  <si>
    <t xml:space="preserve">753K</t>
  </si>
  <si>
    <t xml:space="preserve">Zombie / infection horror elements.</t>
  </si>
  <si>
    <t xml:space="preserve">Lucifer</t>
  </si>
  <si>
    <t xml:space="preserve">2016–2021</t>
  </si>
  <si>
    <t xml:space="preserve">Crime, Fantasy</t>
  </si>
  <si>
    <t xml:space="preserve">396K</t>
  </si>
  <si>
    <t xml:space="preserve">Netflix India audio: English, Hindi.</t>
  </si>
  <si>
    <t xml:space="preserve">Banshee</t>
  </si>
  <si>
    <t xml:space="preserve">2013–2016</t>
  </si>
  <si>
    <t xml:space="preserve">Action, Crime</t>
  </si>
  <si>
    <t xml:space="preserve">150K</t>
  </si>
  <si>
    <t xml:space="preserve">The Wire</t>
  </si>
  <si>
    <t xml:space="preserve">2002–2008</t>
  </si>
  <si>
    <t xml:space="preserve">441K</t>
  </si>
  <si>
    <t xml:space="preserve">Slow-burn; highest IMDb rating on this list.</t>
  </si>
  <si>
    <t xml:space="preserve">Fauda</t>
  </si>
  <si>
    <t xml:space="preserve">2015–</t>
  </si>
  <si>
    <t xml:space="preserve">Hebrew, Arabic</t>
  </si>
  <si>
    <t xml:space="preserve">46K</t>
  </si>
  <si>
    <t xml:space="preserve">Netflix India audio includes Hindi. Its Hindi remake is Tanaav (Sony LIV).</t>
  </si>
  <si>
    <t xml:space="preserve">Sicario</t>
  </si>
  <si>
    <t xml:space="preserve">Movie (in series list)</t>
  </si>
  <si>
    <t xml:space="preserve">552K</t>
  </si>
  <si>
    <t xml:space="preserve">A film, not a series. Rent only.</t>
  </si>
  <si>
    <t xml:space="preserve">Jack Ryan: Shadow Recruit</t>
  </si>
  <si>
    <t xml:space="preserve">144K</t>
  </si>
  <si>
    <t xml:space="preserve">The poster's 'Shadow Recruit' is this 2014 film, not a series.</t>
  </si>
  <si>
    <t xml:space="preserve">Spartacus</t>
  </si>
  <si>
    <t xml:space="preserve">2010–2013</t>
  </si>
  <si>
    <t xml:space="preserve">299K</t>
  </si>
  <si>
    <t xml:space="preserve">Very graphic.</t>
  </si>
  <si>
    <t xml:space="preserve">The Expanse</t>
  </si>
  <si>
    <t xml:space="preserve">2015–2022</t>
  </si>
  <si>
    <t xml:space="preserve">Sci-Fi, Mystery, Drama</t>
  </si>
  <si>
    <t xml:space="preserve">195K</t>
  </si>
  <si>
    <t xml:space="preserve">6 seasons; check Hindi in Prime Video.</t>
  </si>
  <si>
    <t xml:space="preserve">24</t>
  </si>
  <si>
    <t xml:space="preserve">2001–2010</t>
  </si>
  <si>
    <t xml:space="preserve">208K</t>
  </si>
  <si>
    <t xml:space="preserve">The Recruit</t>
  </si>
  <si>
    <t xml:space="preserve">66K</t>
  </si>
  <si>
    <t xml:space="preserve">2 seasons. Netflix India audio includes Hindi.</t>
  </si>
  <si>
    <t xml:space="preserve">Kingdom</t>
  </si>
  <si>
    <t xml:space="preserve">2019–2020</t>
  </si>
  <si>
    <t xml:space="preserve">Action, Horror, Thriller</t>
  </si>
  <si>
    <t xml:space="preserve">Title is partly hidden in the screenshot ('K…', Netflix) — most likely Kingdom. Netflix India audio: Korean, English.</t>
  </si>
  <si>
    <t xml:space="preserve">Shadow and Bone</t>
  </si>
  <si>
    <t xml:space="preserve">2021–2023</t>
  </si>
  <si>
    <t xml:space="preserve">127K</t>
  </si>
  <si>
    <t xml:space="preserve">The Chi</t>
  </si>
  <si>
    <t xml:space="preserve">2018–</t>
  </si>
  <si>
    <t xml:space="preserve">10K</t>
  </si>
  <si>
    <t xml:space="preserve">A drama, not an action show.</t>
  </si>
  <si>
    <t xml:space="preserve">Dark</t>
  </si>
  <si>
    <t xml:space="preserve">2017–2020</t>
  </si>
  <si>
    <t xml:space="preserve">German</t>
  </si>
  <si>
    <t xml:space="preserve">Sci-Fi, Mystery, Thriller</t>
  </si>
  <si>
    <t xml:space="preserve">566K</t>
  </si>
  <si>
    <t xml:space="preserve">Netflix India audio: German, English (no Hindi).</t>
  </si>
  <si>
    <t xml:space="preserve">Stranger Things</t>
  </si>
  <si>
    <t xml:space="preserve">2016–2025</t>
  </si>
  <si>
    <t xml:space="preserve">Netflix India audio includes Hindi, Tamil, Telugu.</t>
  </si>
  <si>
    <t xml:space="preserve">How to read this sheet</t>
  </si>
  <si>
    <t xml:space="preserve">101 unique titles from your 10 screenshots (one image was posted twice; 5 titles appear in two lists — the topic column shows both). Streaming data checked on JustWatch India, 27–28 Oct 2026; OTT catalogues change often.</t>
  </si>
  <si>
    <t xml:space="preserve">Hindi is listed in the Netflix India title page's audio list, or the platform / release coverage announced a Hindi version (The Boys, Jack Ryan, The Terminal List, Unmadham).</t>
  </si>
  <si>
    <t xml:space="preserve">A Hindi dub of this title is known to exist and the listed service usually carries it — confirm in the app's audio menu.</t>
  </si>
  <si>
    <t xml:space="preserve">Couldn't confirm either way. Prime Video, JioHotstar, Sony LIV and Lionsgate Play don't show audio tracks on their public pages.</t>
  </si>
  <si>
    <t xml:space="preserve">The Netflix India audio list has no Hindi (some have Hindi subtitles — see Notes).</t>
  </si>
  <si>
    <t xml:space="preserve">No Hindi dub known — mostly foreign-language or small indie titles.</t>
  </si>
  <si>
    <t xml:space="preserve">Other columns</t>
  </si>
  <si>
    <t xml:space="preserve">IMDb Rating / Votes</t>
  </si>
  <si>
    <t xml:space="preserve">IMDb figures as shown on JustWatch, Oct 2026. Vote counts are rounded there, so treat them as approximate.</t>
  </si>
  <si>
    <t xml:space="preserve">Subscription or free-with-ads services in India. 'Not streaming in India' = no service carries it right now.</t>
  </si>
  <si>
    <t xml:space="preserve">Pay-per-title stores. Rental copies are usually English audio only.</t>
  </si>
  <si>
    <t xml:space="preserve">The caption of the post the title came from. For untitled collages the theme is described and marked 'no caption'.</t>
  </si>
  <si>
    <t xml:space="preserve">Status / Your Rating</t>
  </si>
  <si>
    <t xml:space="preserve">Pre-filled from your My favs list (The Martian marked as one of your favourites). Edit these as you watch.</t>
  </si>
  <si>
    <t xml:space="preserve">High = Hindi confirmed or likely + on a subscription service in India + matches your taste (fast, twisty thrillers, mind-bending sci-fi, revenge, action). Medium = watchable but a weaker match, or a strong match with Hindi unconfirmed. Low = no Hindi, not streaming in India, or a genre you usually skip (horror, slow-burn, fantasy, superheroes). '—' = already watched.</t>
  </si>
  <si>
    <t xml:space="preserve">Editable columns</t>
  </si>
  <si>
    <t xml:space="preserve">Status, Your Rating (0–10) and Suggested Priority have dropdowns / checks so you can keep using this as a tracker.</t>
  </si>
  <si>
    <t xml:space="preserve">Link to the title's JustWatch India page (Netflix page for Money Heist; JustWatch US for The Treatment, which has no India page).</t>
  </si>
  <si>
    <t xml:space="preserve">Summary</t>
  </si>
  <si>
    <t xml:space="preserve">Unique titles</t>
  </si>
  <si>
    <t xml:space="preserve">Hindi — Yes (verified)</t>
  </si>
  <si>
    <t xml:space="preserve">Hindi — Likely</t>
  </si>
  <si>
    <t xml:space="preserve">Hindi — Unconfirmed</t>
  </si>
  <si>
    <t xml:space="preserve">Hindi — No (verified)</t>
  </si>
  <si>
    <t xml:space="preserve">Hindi — No</t>
  </si>
  <si>
    <t xml:space="preserve">Suggested priority — High</t>
  </si>
  <si>
    <t xml:space="preserve">Suggested priority — Medium</t>
  </si>
  <si>
    <t xml:space="preserve">Already watched</t>
  </si>
  <si>
    <t xml:space="preserve">Titles per screenshot (5 titles are counted twice)</t>
  </si>
  <si>
    <t xml:space="preserve">Sources</t>
  </si>
  <si>
    <t xml:space="preserve">Streaming, IMDb, genres</t>
  </si>
  <si>
    <t xml:space="preserve">JustWatch India title pages (linked per row in the Watchlist tab), checked 27–28 Oct 2026.</t>
  </si>
  <si>
    <t xml:space="preserve">Hindi audio (Netflix titles)</t>
  </si>
  <si>
    <t xml:space="preserve">Netflix India title pages, 'Audio' list under More Details.</t>
  </si>
  <si>
    <t xml:space="preserve">The Boys Hindi dub</t>
  </si>
  <si>
    <t xml:space="preserve">BusinessWorld / IBTimes India: Arjun Kapoor, Rajkummar Rao and Disha Patani voiced the Hindi version.</t>
  </si>
  <si>
    <t xml:space="preserve">Jack Ryan Hindi</t>
  </si>
  <si>
    <t xml:space="preserve">Mediainfoline: Tom Clancy's Jack Ryan available in Hindi, Tamil and Telugu.</t>
  </si>
  <si>
    <t xml:space="preserve">The Terminal List Hindi</t>
  </si>
  <si>
    <t xml:space="preserve">Udayavani: Prime Video's Prime Day 2022 line-up listed it in English, Hindi, Tamil, Telugu, Malayalam, Kannada.</t>
  </si>
  <si>
    <t xml:space="preserve">Esquire India and The Cinema Post: Sony LIV from 4 Sep 2026; Hindi, Tamil, Telugu, Kannada versions.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</si>
</sst>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color rgb="FF808080"/>
      </font>
    </dxf>
    <dxf>
      <font>
        <i val="1"/>
        <color rgb="FF7F7F7F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F0D9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1F3864"/>
      <rgbColor rgb="FF339966"/>
      <rgbColor rgb="FF003300"/>
      <rgbColor rgb="FF333300"/>
      <rgbColor rgb="FF9C57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justwatch.com/in/movie/the-shawshank-redemption" TargetMode="External"/><Relationship Id="rId2" Type="http://schemas.openxmlformats.org/officeDocument/2006/relationships/hyperlink" Target="https://www.justwatch.com/in/movie/the-dark-knight" TargetMode="External"/><Relationship Id="rId3" Type="http://schemas.openxmlformats.org/officeDocument/2006/relationships/hyperlink" Target="https://www.justwatch.com/in/movie/inception" TargetMode="External"/><Relationship Id="rId4" Type="http://schemas.openxmlformats.org/officeDocument/2006/relationships/hyperlink" Target="https://www.justwatch.com/in/movie/interstellar" TargetMode="External"/><Relationship Id="rId5" Type="http://schemas.openxmlformats.org/officeDocument/2006/relationships/hyperlink" Target="https://www.justwatch.com/in/movie/the-matrix" TargetMode="External"/><Relationship Id="rId6" Type="http://schemas.openxmlformats.org/officeDocument/2006/relationships/hyperlink" Target="https://www.justwatch.com/in/movie/the-green-mile" TargetMode="External"/><Relationship Id="rId7" Type="http://schemas.openxmlformats.org/officeDocument/2006/relationships/hyperlink" Target="https://www.justwatch.com/in/movie/saving-private-ryan" TargetMode="External"/><Relationship Id="rId8" Type="http://schemas.openxmlformats.org/officeDocument/2006/relationships/hyperlink" Target="https://www.justwatch.com/in/movie/the-departed" TargetMode="External"/><Relationship Id="rId9" Type="http://schemas.openxmlformats.org/officeDocument/2006/relationships/hyperlink" Target="https://www.justwatch.com/in/movie/gladiator" TargetMode="External"/><Relationship Id="rId10" Type="http://schemas.openxmlformats.org/officeDocument/2006/relationships/hyperlink" Target="https://www.justwatch.com/in/movie/the-prestige" TargetMode="External"/><Relationship Id="rId11" Type="http://schemas.openxmlformats.org/officeDocument/2006/relationships/hyperlink" Target="https://www.justwatch.com/in/movie/the-lord-of-the-rings-the-fellowship-of-the-ring" TargetMode="External"/><Relationship Id="rId12" Type="http://schemas.openxmlformats.org/officeDocument/2006/relationships/hyperlink" Target="https://www.justwatch.com/in/movie/forrest-gump" TargetMode="External"/><Relationship Id="rId13" Type="http://schemas.openxmlformats.org/officeDocument/2006/relationships/hyperlink" Target="https://www.justwatch.com/in/movie/the-wolf-of-wall-street" TargetMode="External"/><Relationship Id="rId14" Type="http://schemas.openxmlformats.org/officeDocument/2006/relationships/hyperlink" Target="https://www.justwatch.com/in/movie/the-truman-show" TargetMode="External"/><Relationship Id="rId15" Type="http://schemas.openxmlformats.org/officeDocument/2006/relationships/hyperlink" Target="https://www.justwatch.com/in/movie/shutter-island" TargetMode="External"/><Relationship Id="rId16" Type="http://schemas.openxmlformats.org/officeDocument/2006/relationships/hyperlink" Target="https://www.justwatch.com/in/movie/prisoners" TargetMode="External"/><Relationship Id="rId17" Type="http://schemas.openxmlformats.org/officeDocument/2006/relationships/hyperlink" Target="https://www.justwatch.com/in/movie/the-terminator" TargetMode="External"/><Relationship Id="rId18" Type="http://schemas.openxmlformats.org/officeDocument/2006/relationships/hyperlink" Target="https://www.justwatch.com/in/movie/mad-max-fury-road" TargetMode="External"/><Relationship Id="rId19" Type="http://schemas.openxmlformats.org/officeDocument/2006/relationships/hyperlink" Target="https://www.justwatch.com/in/movie/the-sixth-sense" TargetMode="External"/><Relationship Id="rId20" Type="http://schemas.openxmlformats.org/officeDocument/2006/relationships/hyperlink" Target="https://www.justwatch.com/in/movie/edge-of-tomorrow" TargetMode="External"/><Relationship Id="rId21" Type="http://schemas.openxmlformats.org/officeDocument/2006/relationships/hyperlink" Target="https://www.justwatch.com/in/movie/contact" TargetMode="External"/><Relationship Id="rId22" Type="http://schemas.openxmlformats.org/officeDocument/2006/relationships/hyperlink" Target="https://www.justwatch.com/in/movie/the-day-the-earth-stood-still-1951" TargetMode="External"/><Relationship Id="rId23" Type="http://schemas.openxmlformats.org/officeDocument/2006/relationships/hyperlink" Target="https://www.justwatch.com/in/movie/the-vast-of-night" TargetMode="External"/><Relationship Id="rId24" Type="http://schemas.openxmlformats.org/officeDocument/2006/relationships/hyperlink" Target="https://www.justwatch.com/in/movie/starman" TargetMode="External"/><Relationship Id="rId25" Type="http://schemas.openxmlformats.org/officeDocument/2006/relationships/hyperlink" Target="https://www.justwatch.com/in/movie/arrival" TargetMode="External"/><Relationship Id="rId26" Type="http://schemas.openxmlformats.org/officeDocument/2006/relationships/hyperlink" Target="https://www.justwatch.com/in/movie/the-abyss" TargetMode="External"/><Relationship Id="rId27" Type="http://schemas.openxmlformats.org/officeDocument/2006/relationships/hyperlink" Target="https://www.justwatch.com/in/movie/midnight-special" TargetMode="External"/><Relationship Id="rId28" Type="http://schemas.openxmlformats.org/officeDocument/2006/relationships/hyperlink" Target="https://www.justwatch.com/in/movie/signs" TargetMode="External"/><Relationship Id="rId29" Type="http://schemas.openxmlformats.org/officeDocument/2006/relationships/hyperlink" Target="https://www.justwatch.com/in/movie/annihilation" TargetMode="External"/><Relationship Id="rId30" Type="http://schemas.openxmlformats.org/officeDocument/2006/relationships/hyperlink" Target="https://www.justwatch.com/in/movie/the-da-vinci-code" TargetMode="External"/><Relationship Id="rId31" Type="http://schemas.openxmlformats.org/officeDocument/2006/relationships/hyperlink" Target="https://www.justwatch.com/in/movie/angels-and-demons" TargetMode="External"/><Relationship Id="rId32" Type="http://schemas.openxmlformats.org/officeDocument/2006/relationships/hyperlink" Target="https://www.justwatch.com/in/movie/the-skulls" TargetMode="External"/><Relationship Id="rId33" Type="http://schemas.openxmlformats.org/officeDocument/2006/relationships/hyperlink" Target="https://www.justwatch.com/in/movie/the-skulls-ii" TargetMode="External"/><Relationship Id="rId34" Type="http://schemas.openxmlformats.org/officeDocument/2006/relationships/hyperlink" Target="https://www.justwatch.com/in/movie/the-skulls-iii" TargetMode="External"/><Relationship Id="rId35" Type="http://schemas.openxmlformats.org/officeDocument/2006/relationships/hyperlink" Target="https://www.justwatch.com/in/movie/as-above-so-below" TargetMode="External"/><Relationship Id="rId36" Type="http://schemas.openxmlformats.org/officeDocument/2006/relationships/hyperlink" Target="https://www.justwatch.com/in/movie/the-pyramid" TargetMode="External"/><Relationship Id="rId37" Type="http://schemas.openxmlformats.org/officeDocument/2006/relationships/hyperlink" Target="https://www.justwatch.com/in/movie/national-treasure" TargetMode="External"/><Relationship Id="rId38" Type="http://schemas.openxmlformats.org/officeDocument/2006/relationships/hyperlink" Target="https://www.justwatch.com/in/movie/the-librarian-quest-for-the-spear" TargetMode="External"/><Relationship Id="rId39" Type="http://schemas.openxmlformats.org/officeDocument/2006/relationships/hyperlink" Target="https://www.justwatch.com/in/movie/the-covenant" TargetMode="External"/><Relationship Id="rId40" Type="http://schemas.openxmlformats.org/officeDocument/2006/relationships/hyperlink" Target="https://www.justwatch.com/in/movie/the-maze-runner" TargetMode="External"/><Relationship Id="rId41" Type="http://schemas.openxmlformats.org/officeDocument/2006/relationships/hyperlink" Target="https://www.justwatch.com/in/movie/the-lost-city-of-z" TargetMode="External"/><Relationship Id="rId42" Type="http://schemas.openxmlformats.org/officeDocument/2006/relationships/hyperlink" Target="https://www.justwatch.com/in/movie/the-invisible-guest" TargetMode="External"/><Relationship Id="rId43" Type="http://schemas.openxmlformats.org/officeDocument/2006/relationships/hyperlink" Target="https://www.justwatch.com/in/movie/the-body-2012" TargetMode="External"/><Relationship Id="rId44" Type="http://schemas.openxmlformats.org/officeDocument/2006/relationships/hyperlink" Target="https://www.justwatch.com/in/movie/forgotten" TargetMode="External"/><Relationship Id="rId45" Type="http://schemas.openxmlformats.org/officeDocument/2006/relationships/hyperlink" Target="https://www.justwatch.com/in/movie/fractured" TargetMode="External"/><Relationship Id="rId46" Type="http://schemas.openxmlformats.org/officeDocument/2006/relationships/hyperlink" Target="https://www.justwatch.com/in/movie/side-effects" TargetMode="External"/><Relationship Id="rId47" Type="http://schemas.openxmlformats.org/officeDocument/2006/relationships/hyperlink" Target="https://www.justwatch.com/in/movie/searching" TargetMode="External"/><Relationship Id="rId48" Type="http://schemas.openxmlformats.org/officeDocument/2006/relationships/hyperlink" Target="https://www.justwatch.com/in/movie/mirage" TargetMode="External"/><Relationship Id="rId49" Type="http://schemas.openxmlformats.org/officeDocument/2006/relationships/hyperlink" Target="https://www.justwatch.com/in/movie/the-guilty-2018" TargetMode="External"/><Relationship Id="rId50" Type="http://schemas.openxmlformats.org/officeDocument/2006/relationships/hyperlink" Target="https://www.justwatch.com/in/movie/the-secret-in-their-eyes" TargetMode="External"/><Relationship Id="rId51" Type="http://schemas.openxmlformats.org/officeDocument/2006/relationships/hyperlink" Target="https://www.justwatch.com/in/movie/the-invitation" TargetMode="External"/><Relationship Id="rId52" Type="http://schemas.openxmlformats.org/officeDocument/2006/relationships/hyperlink" Target="https://www.justwatch.com/in/movie/exam" TargetMode="External"/><Relationship Id="rId53" Type="http://schemas.openxmlformats.org/officeDocument/2006/relationships/hyperlink" Target="https://www.justwatch.com/us/movie/the-treatment-2014" TargetMode="External"/><Relationship Id="rId54" Type="http://schemas.openxmlformats.org/officeDocument/2006/relationships/hyperlink" Target="https://www.justwatch.com/in/movie/gravity" TargetMode="External"/><Relationship Id="rId55" Type="http://schemas.openxmlformats.org/officeDocument/2006/relationships/hyperlink" Target="https://www.justwatch.com/in/movie/prometheus" TargetMode="External"/><Relationship Id="rId56" Type="http://schemas.openxmlformats.org/officeDocument/2006/relationships/hyperlink" Target="https://www.justwatch.com/in/movie/sunshine" TargetMode="External"/><Relationship Id="rId57" Type="http://schemas.openxmlformats.org/officeDocument/2006/relationships/hyperlink" Target="https://www.justwatch.com/in/movie/the-martian" TargetMode="External"/><Relationship Id="rId58" Type="http://schemas.openxmlformats.org/officeDocument/2006/relationships/hyperlink" Target="https://www.justwatch.com/in/movie/ad-astra" TargetMode="External"/><Relationship Id="rId59" Type="http://schemas.openxmlformats.org/officeDocument/2006/relationships/hyperlink" Target="https://www.justwatch.com/in/movie/first-man" TargetMode="External"/><Relationship Id="rId60" Type="http://schemas.openxmlformats.org/officeDocument/2006/relationships/hyperlink" Target="https://www.justwatch.com/in/movie/passengers" TargetMode="External"/><Relationship Id="rId61" Type="http://schemas.openxmlformats.org/officeDocument/2006/relationships/hyperlink" Target="https://www.justwatch.com/in/movie/2001-a-space-odyssey" TargetMode="External"/><Relationship Id="rId62" Type="http://schemas.openxmlformats.org/officeDocument/2006/relationships/hyperlink" Target="https://www.justwatch.com/in/movie/identity" TargetMode="External"/><Relationship Id="rId63" Type="http://schemas.openxmlformats.org/officeDocument/2006/relationships/hyperlink" Target="https://www.justwatch.com/in/movie/marshland" TargetMode="External"/><Relationship Id="rId64" Type="http://schemas.openxmlformats.org/officeDocument/2006/relationships/hyperlink" Target="https://www.justwatch.com/in/movie/tell-no-one" TargetMode="External"/><Relationship Id="rId65" Type="http://schemas.openxmlformats.org/officeDocument/2006/relationships/hyperlink" Target="https://www.justwatch.com/in/movie/the-dry" TargetMode="External"/><Relationship Id="rId66" Type="http://schemas.openxmlformats.org/officeDocument/2006/relationships/hyperlink" Target="https://www.justwatch.com/in/movie/the-vanishing" TargetMode="External"/><Relationship Id="rId67" Type="http://schemas.openxmlformats.org/officeDocument/2006/relationships/hyperlink" Target="https://www.justwatch.com/in/movie/predestination" TargetMode="External"/><Relationship Id="rId68" Type="http://schemas.openxmlformats.org/officeDocument/2006/relationships/hyperlink" Target="https://www.justwatch.com/in/movie/looper" TargetMode="External"/><Relationship Id="rId69" Type="http://schemas.openxmlformats.org/officeDocument/2006/relationships/hyperlink" Target="https://www.justwatch.com/in/movie/timecrimes" TargetMode="External"/><Relationship Id="rId70" Type="http://schemas.openxmlformats.org/officeDocument/2006/relationships/hyperlink" Target="https://www.justwatch.com/in/movie/triangle" TargetMode="External"/><Relationship Id="rId71" Type="http://schemas.openxmlformats.org/officeDocument/2006/relationships/hyperlink" Target="https://www.justwatch.com/in/movie/arq" TargetMode="External"/><Relationship Id="rId72" Type="http://schemas.openxmlformats.org/officeDocument/2006/relationships/hyperlink" Target="https://www.justwatch.com/in/movie/the-endless" TargetMode="External"/><Relationship Id="rId73" Type="http://schemas.openxmlformats.org/officeDocument/2006/relationships/hyperlink" Target="https://www.justwatch.com/in/movie/flashback" TargetMode="External"/><Relationship Id="rId74" Type="http://schemas.openxmlformats.org/officeDocument/2006/relationships/hyperlink" Target="https://www.justwatch.com/in/movie/the-fare" TargetMode="External"/><Relationship Id="rId75" Type="http://schemas.openxmlformats.org/officeDocument/2006/relationships/hyperlink" Target="https://www.justwatch.com/in/movie/the-map-of-tiny-perfect-things" TargetMode="External"/><Relationship Id="rId76" Type="http://schemas.openxmlformats.org/officeDocument/2006/relationships/hyperlink" Target="https://www.justwatch.com/in/movie/unmadham" TargetMode="External"/><Relationship Id="rId77" Type="http://schemas.openxmlformats.org/officeDocument/2006/relationships/hyperlink" Target="https://www.justwatch.com/in/tv-show/the-night-agent" TargetMode="External"/><Relationship Id="rId78" Type="http://schemas.openxmlformats.org/officeDocument/2006/relationships/hyperlink" Target="https://www.justwatch.com/in/tv-show/tom-clancys-jack-ryan" TargetMode="External"/><Relationship Id="rId79" Type="http://schemas.openxmlformats.org/officeDocument/2006/relationships/hyperlink" Target="https://www.netflix.com/in/title/80192098" TargetMode="External"/><Relationship Id="rId80" Type="http://schemas.openxmlformats.org/officeDocument/2006/relationships/hyperlink" Target="https://www.justwatch.com/in/tv-show/the-boys" TargetMode="External"/><Relationship Id="rId81" Type="http://schemas.openxmlformats.org/officeDocument/2006/relationships/hyperlink" Target="https://www.justwatch.com/in/tv-show/peaky-blinders" TargetMode="External"/><Relationship Id="rId82" Type="http://schemas.openxmlformats.org/officeDocument/2006/relationships/hyperlink" Target="https://www.justwatch.com/in/tv-show/vikings" TargetMode="External"/><Relationship Id="rId83" Type="http://schemas.openxmlformats.org/officeDocument/2006/relationships/hyperlink" Target="https://www.justwatch.com/in/tv-show/prison-break" TargetMode="External"/><Relationship Id="rId84" Type="http://schemas.openxmlformats.org/officeDocument/2006/relationships/hyperlink" Target="https://www.justwatch.com/in/tv-show/the-terminal-list" TargetMode="External"/><Relationship Id="rId85" Type="http://schemas.openxmlformats.org/officeDocument/2006/relationships/hyperlink" Target="https://www.justwatch.com/in/tv-show/bodyguard" TargetMode="External"/><Relationship Id="rId86" Type="http://schemas.openxmlformats.org/officeDocument/2006/relationships/hyperlink" Target="https://www.justwatch.com/in/tv-show/the-last-of-us" TargetMode="External"/><Relationship Id="rId87" Type="http://schemas.openxmlformats.org/officeDocument/2006/relationships/hyperlink" Target="https://www.justwatch.com/in/tv-show/lucifer" TargetMode="External"/><Relationship Id="rId88" Type="http://schemas.openxmlformats.org/officeDocument/2006/relationships/hyperlink" Target="https://www.justwatch.com/in/tv-show/banshee" TargetMode="External"/><Relationship Id="rId89" Type="http://schemas.openxmlformats.org/officeDocument/2006/relationships/hyperlink" Target="https://www.justwatch.com/in/tv-show/the-wire" TargetMode="External"/><Relationship Id="rId90" Type="http://schemas.openxmlformats.org/officeDocument/2006/relationships/hyperlink" Target="https://www.justwatch.com/in/tv-show/fauda" TargetMode="External"/><Relationship Id="rId91" Type="http://schemas.openxmlformats.org/officeDocument/2006/relationships/hyperlink" Target="https://www.justwatch.com/in/movie/sicario" TargetMode="External"/><Relationship Id="rId92" Type="http://schemas.openxmlformats.org/officeDocument/2006/relationships/hyperlink" Target="https://www.justwatch.com/in/movie/jack-ryan-shadow-recruit" TargetMode="External"/><Relationship Id="rId93" Type="http://schemas.openxmlformats.org/officeDocument/2006/relationships/hyperlink" Target="https://www.justwatch.com/in/tv-show/spartacus" TargetMode="External"/><Relationship Id="rId94" Type="http://schemas.openxmlformats.org/officeDocument/2006/relationships/hyperlink" Target="https://www.justwatch.com/in/tv-show/the-expanse" TargetMode="External"/><Relationship Id="rId95" Type="http://schemas.openxmlformats.org/officeDocument/2006/relationships/hyperlink" Target="https://www.justwatch.com/in/tv-show/24" TargetMode="External"/><Relationship Id="rId96" Type="http://schemas.openxmlformats.org/officeDocument/2006/relationships/hyperlink" Target="https://www.justwatch.com/in/tv-show/the-recruit" TargetMode="External"/><Relationship Id="rId97" Type="http://schemas.openxmlformats.org/officeDocument/2006/relationships/hyperlink" Target="https://www.justwatch.com/in/tv-show/kingdom" TargetMode="External"/><Relationship Id="rId98" Type="http://schemas.openxmlformats.org/officeDocument/2006/relationships/hyperlink" Target="https://www.justwatch.com/in/tv-show/shadow-and-bone" TargetMode="External"/><Relationship Id="rId99" Type="http://schemas.openxmlformats.org/officeDocument/2006/relationships/hyperlink" Target="https://www.justwatch.com/in/tv-show/the-chi" TargetMode="External"/><Relationship Id="rId100" Type="http://schemas.openxmlformats.org/officeDocument/2006/relationships/hyperlink" Target="https://www.justwatch.com/in/tv-show/dark" TargetMode="External"/><Relationship Id="rId101" Type="http://schemas.openxmlformats.org/officeDocument/2006/relationships/hyperlink" Target="https://www.justwatch.com/in/tv-show/stranger-things" TargetMode="External"/><Relationship Id="rId10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Q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28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30"/>
    <col collapsed="false" customWidth="true" hidden="false" outlineLevel="0" max="11" min="11" style="0" width="28"/>
    <col collapsed="false" customWidth="true" hidden="false" outlineLevel="0" max="12" min="12" style="0" width="40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58"/>
    <col collapsed="false" customWidth="true" hidden="false" outlineLevel="0" max="17" min="17" style="0" width="13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1</v>
      </c>
      <c r="B2" s="3" t="s">
        <v>17</v>
      </c>
      <c r="C2" s="2" t="s">
        <v>18</v>
      </c>
      <c r="D2" s="4" t="s">
        <v>19</v>
      </c>
      <c r="E2" s="4" t="s">
        <v>20</v>
      </c>
      <c r="F2" s="4" t="s">
        <v>21</v>
      </c>
      <c r="G2" s="5" t="n">
        <v>9.3</v>
      </c>
      <c r="H2" s="2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2" t="s">
        <v>27</v>
      </c>
      <c r="N2" s="2"/>
      <c r="O2" s="2" t="s">
        <v>28</v>
      </c>
      <c r="P2" s="4" t="s">
        <v>29</v>
      </c>
      <c r="Q2" s="6" t="s">
        <v>30</v>
      </c>
    </row>
    <row r="3" customFormat="false" ht="15" hidden="false" customHeight="false" outlineLevel="0" collapsed="false">
      <c r="A3" s="2" t="n">
        <v>2</v>
      </c>
      <c r="B3" s="3" t="s">
        <v>31</v>
      </c>
      <c r="C3" s="2" t="s">
        <v>32</v>
      </c>
      <c r="D3" s="4" t="s">
        <v>19</v>
      </c>
      <c r="E3" s="4" t="s">
        <v>20</v>
      </c>
      <c r="F3" s="4" t="s">
        <v>33</v>
      </c>
      <c r="G3" s="5" t="n">
        <v>9.1</v>
      </c>
      <c r="H3" s="2" t="s">
        <v>22</v>
      </c>
      <c r="I3" s="4" t="s">
        <v>34</v>
      </c>
      <c r="J3" s="4" t="s">
        <v>35</v>
      </c>
      <c r="K3" s="4" t="s">
        <v>25</v>
      </c>
      <c r="L3" s="4" t="s">
        <v>26</v>
      </c>
      <c r="M3" s="2" t="s">
        <v>36</v>
      </c>
      <c r="N3" s="2" t="n">
        <v>7</v>
      </c>
      <c r="O3" s="2" t="s">
        <v>37</v>
      </c>
      <c r="P3" s="4"/>
      <c r="Q3" s="6" t="s">
        <v>30</v>
      </c>
    </row>
    <row r="4" customFormat="false" ht="15" hidden="false" customHeight="false" outlineLevel="0" collapsed="false">
      <c r="A4" s="2" t="n">
        <v>3</v>
      </c>
      <c r="B4" s="3" t="s">
        <v>38</v>
      </c>
      <c r="C4" s="2" t="s">
        <v>39</v>
      </c>
      <c r="D4" s="4" t="s">
        <v>19</v>
      </c>
      <c r="E4" s="4" t="s">
        <v>20</v>
      </c>
      <c r="F4" s="4" t="s">
        <v>40</v>
      </c>
      <c r="G4" s="5" t="n">
        <v>8.8</v>
      </c>
      <c r="H4" s="2" t="s">
        <v>41</v>
      </c>
      <c r="I4" s="4" t="s">
        <v>34</v>
      </c>
      <c r="J4" s="4" t="s">
        <v>35</v>
      </c>
      <c r="K4" s="4" t="s">
        <v>25</v>
      </c>
      <c r="L4" s="4" t="s">
        <v>26</v>
      </c>
      <c r="M4" s="2" t="s">
        <v>36</v>
      </c>
      <c r="N4" s="2" t="n">
        <v>10</v>
      </c>
      <c r="O4" s="2" t="s">
        <v>37</v>
      </c>
      <c r="P4" s="4"/>
      <c r="Q4" s="6" t="s">
        <v>30</v>
      </c>
    </row>
    <row r="5" customFormat="false" ht="23.85" hidden="false" customHeight="false" outlineLevel="0" collapsed="false">
      <c r="A5" s="2" t="n">
        <v>4</v>
      </c>
      <c r="B5" s="3" t="s">
        <v>42</v>
      </c>
      <c r="C5" s="2" t="s">
        <v>43</v>
      </c>
      <c r="D5" s="4" t="s">
        <v>19</v>
      </c>
      <c r="E5" s="4" t="s">
        <v>20</v>
      </c>
      <c r="F5" s="4" t="s">
        <v>44</v>
      </c>
      <c r="G5" s="5" t="n">
        <v>8.7</v>
      </c>
      <c r="H5" s="2" t="s">
        <v>41</v>
      </c>
      <c r="I5" s="4" t="s">
        <v>34</v>
      </c>
      <c r="J5" s="4" t="s">
        <v>35</v>
      </c>
      <c r="K5" s="4" t="s">
        <v>25</v>
      </c>
      <c r="L5" s="4" t="s">
        <v>45</v>
      </c>
      <c r="M5" s="2" t="s">
        <v>36</v>
      </c>
      <c r="N5" s="2" t="n">
        <v>10</v>
      </c>
      <c r="O5" s="2" t="s">
        <v>37</v>
      </c>
      <c r="P5" s="4" t="s">
        <v>46</v>
      </c>
      <c r="Q5" s="6" t="s">
        <v>30</v>
      </c>
    </row>
    <row r="6" customFormat="false" ht="15" hidden="false" customHeight="false" outlineLevel="0" collapsed="false">
      <c r="A6" s="2" t="n">
        <v>5</v>
      </c>
      <c r="B6" s="3" t="s">
        <v>47</v>
      </c>
      <c r="C6" s="2" t="s">
        <v>48</v>
      </c>
      <c r="D6" s="4" t="s">
        <v>19</v>
      </c>
      <c r="E6" s="4" t="s">
        <v>20</v>
      </c>
      <c r="F6" s="4" t="s">
        <v>49</v>
      </c>
      <c r="G6" s="5" t="n">
        <v>8.7</v>
      </c>
      <c r="H6" s="2" t="s">
        <v>41</v>
      </c>
      <c r="I6" s="4" t="s">
        <v>34</v>
      </c>
      <c r="J6" s="4" t="s">
        <v>35</v>
      </c>
      <c r="K6" s="4" t="s">
        <v>25</v>
      </c>
      <c r="L6" s="4" t="s">
        <v>26</v>
      </c>
      <c r="M6" s="2" t="s">
        <v>27</v>
      </c>
      <c r="N6" s="2"/>
      <c r="O6" s="2" t="s">
        <v>50</v>
      </c>
      <c r="P6" s="4" t="s">
        <v>51</v>
      </c>
      <c r="Q6" s="6" t="s">
        <v>30</v>
      </c>
    </row>
    <row r="7" customFormat="false" ht="15" hidden="false" customHeight="false" outlineLevel="0" collapsed="false">
      <c r="A7" s="2" t="n">
        <v>6</v>
      </c>
      <c r="B7" s="3" t="s">
        <v>52</v>
      </c>
      <c r="C7" s="2" t="s">
        <v>48</v>
      </c>
      <c r="D7" s="4" t="s">
        <v>19</v>
      </c>
      <c r="E7" s="4" t="s">
        <v>20</v>
      </c>
      <c r="F7" s="4" t="s">
        <v>53</v>
      </c>
      <c r="G7" s="5" t="n">
        <v>8.6</v>
      </c>
      <c r="H7" s="2" t="s">
        <v>41</v>
      </c>
      <c r="I7" s="4" t="s">
        <v>23</v>
      </c>
      <c r="J7" s="4" t="s">
        <v>24</v>
      </c>
      <c r="K7" s="4" t="s">
        <v>25</v>
      </c>
      <c r="L7" s="4" t="s">
        <v>26</v>
      </c>
      <c r="M7" s="2" t="s">
        <v>27</v>
      </c>
      <c r="N7" s="2"/>
      <c r="O7" s="2" t="s">
        <v>28</v>
      </c>
      <c r="P7" s="4" t="s">
        <v>54</v>
      </c>
      <c r="Q7" s="6" t="s">
        <v>30</v>
      </c>
    </row>
    <row r="8" customFormat="false" ht="23.85" hidden="false" customHeight="false" outlineLevel="0" collapsed="false">
      <c r="A8" s="2" t="n">
        <v>7</v>
      </c>
      <c r="B8" s="3" t="s">
        <v>55</v>
      </c>
      <c r="C8" s="2" t="s">
        <v>56</v>
      </c>
      <c r="D8" s="4" t="s">
        <v>19</v>
      </c>
      <c r="E8" s="4" t="s">
        <v>20</v>
      </c>
      <c r="F8" s="4" t="s">
        <v>57</v>
      </c>
      <c r="G8" s="5" t="n">
        <v>8.6</v>
      </c>
      <c r="H8" s="2" t="s">
        <v>41</v>
      </c>
      <c r="I8" s="4" t="s">
        <v>34</v>
      </c>
      <c r="J8" s="4" t="s">
        <v>58</v>
      </c>
      <c r="K8" s="4" t="s">
        <v>59</v>
      </c>
      <c r="L8" s="4" t="s">
        <v>26</v>
      </c>
      <c r="M8" s="2" t="s">
        <v>27</v>
      </c>
      <c r="N8" s="2"/>
      <c r="O8" s="2" t="s">
        <v>60</v>
      </c>
      <c r="P8" s="4" t="s">
        <v>61</v>
      </c>
      <c r="Q8" s="6" t="s">
        <v>30</v>
      </c>
    </row>
    <row r="9" customFormat="false" ht="15" hidden="false" customHeight="false" outlineLevel="0" collapsed="false">
      <c r="A9" s="2" t="n">
        <v>8</v>
      </c>
      <c r="B9" s="3" t="s">
        <v>62</v>
      </c>
      <c r="C9" s="2" t="s">
        <v>63</v>
      </c>
      <c r="D9" s="4" t="s">
        <v>19</v>
      </c>
      <c r="E9" s="4" t="s">
        <v>20</v>
      </c>
      <c r="F9" s="4" t="s">
        <v>64</v>
      </c>
      <c r="G9" s="5" t="n">
        <v>8.5</v>
      </c>
      <c r="H9" s="2" t="s">
        <v>41</v>
      </c>
      <c r="I9" s="4" t="s">
        <v>23</v>
      </c>
      <c r="J9" s="4" t="s">
        <v>65</v>
      </c>
      <c r="K9" s="4" t="s">
        <v>66</v>
      </c>
      <c r="L9" s="4" t="s">
        <v>26</v>
      </c>
      <c r="M9" s="2" t="s">
        <v>36</v>
      </c>
      <c r="N9" s="2" t="n">
        <v>7</v>
      </c>
      <c r="O9" s="2" t="s">
        <v>37</v>
      </c>
      <c r="P9" s="4"/>
      <c r="Q9" s="6" t="s">
        <v>30</v>
      </c>
    </row>
    <row r="10" customFormat="false" ht="23.85" hidden="false" customHeight="false" outlineLevel="0" collapsed="false">
      <c r="A10" s="2" t="n">
        <v>9</v>
      </c>
      <c r="B10" s="3" t="s">
        <v>67</v>
      </c>
      <c r="C10" s="2" t="s">
        <v>68</v>
      </c>
      <c r="D10" s="4" t="s">
        <v>19</v>
      </c>
      <c r="E10" s="4" t="s">
        <v>20</v>
      </c>
      <c r="F10" s="4" t="s">
        <v>69</v>
      </c>
      <c r="G10" s="5" t="n">
        <v>8.5</v>
      </c>
      <c r="H10" s="2" t="s">
        <v>70</v>
      </c>
      <c r="I10" s="4" t="s">
        <v>34</v>
      </c>
      <c r="J10" s="4" t="s">
        <v>65</v>
      </c>
      <c r="K10" s="4" t="s">
        <v>59</v>
      </c>
      <c r="L10" s="4" t="s">
        <v>26</v>
      </c>
      <c r="M10" s="2" t="s">
        <v>27</v>
      </c>
      <c r="N10" s="2"/>
      <c r="O10" s="2" t="s">
        <v>50</v>
      </c>
      <c r="P10" s="4" t="s">
        <v>71</v>
      </c>
      <c r="Q10" s="6" t="s">
        <v>30</v>
      </c>
    </row>
    <row r="11" customFormat="false" ht="15" hidden="false" customHeight="false" outlineLevel="0" collapsed="false">
      <c r="A11" s="2" t="n">
        <v>10</v>
      </c>
      <c r="B11" s="3" t="s">
        <v>72</v>
      </c>
      <c r="C11" s="2" t="s">
        <v>63</v>
      </c>
      <c r="D11" s="4" t="s">
        <v>19</v>
      </c>
      <c r="E11" s="4" t="s">
        <v>20</v>
      </c>
      <c r="F11" s="4" t="s">
        <v>73</v>
      </c>
      <c r="G11" s="5" t="n">
        <v>8.5</v>
      </c>
      <c r="H11" s="2" t="s">
        <v>41</v>
      </c>
      <c r="I11" s="4" t="s">
        <v>74</v>
      </c>
      <c r="J11" s="4" t="s">
        <v>75</v>
      </c>
      <c r="K11" s="4" t="s">
        <v>25</v>
      </c>
      <c r="L11" s="4" t="s">
        <v>26</v>
      </c>
      <c r="M11" s="2" t="s">
        <v>27</v>
      </c>
      <c r="N11" s="2"/>
      <c r="O11" s="2" t="s">
        <v>28</v>
      </c>
      <c r="P11" s="4" t="s">
        <v>76</v>
      </c>
      <c r="Q11" s="6" t="s">
        <v>30</v>
      </c>
    </row>
    <row r="12" customFormat="false" ht="23.85" hidden="false" customHeight="false" outlineLevel="0" collapsed="false">
      <c r="A12" s="2" t="n">
        <v>11</v>
      </c>
      <c r="B12" s="3" t="s">
        <v>77</v>
      </c>
      <c r="C12" s="2" t="s">
        <v>78</v>
      </c>
      <c r="D12" s="4" t="s">
        <v>19</v>
      </c>
      <c r="E12" s="4" t="s">
        <v>20</v>
      </c>
      <c r="F12" s="4" t="s">
        <v>79</v>
      </c>
      <c r="G12" s="5" t="n">
        <v>8.9</v>
      </c>
      <c r="H12" s="2" t="s">
        <v>41</v>
      </c>
      <c r="I12" s="4" t="s">
        <v>80</v>
      </c>
      <c r="J12" s="4" t="s">
        <v>81</v>
      </c>
      <c r="K12" s="4" t="s">
        <v>25</v>
      </c>
      <c r="L12" s="4" t="s">
        <v>26</v>
      </c>
      <c r="M12" s="2" t="s">
        <v>27</v>
      </c>
      <c r="N12" s="2"/>
      <c r="O12" s="2" t="s">
        <v>60</v>
      </c>
      <c r="P12" s="4" t="s">
        <v>82</v>
      </c>
      <c r="Q12" s="6" t="s">
        <v>30</v>
      </c>
    </row>
    <row r="13" customFormat="false" ht="15" hidden="false" customHeight="false" outlineLevel="0" collapsed="false">
      <c r="A13" s="2" t="n">
        <v>12</v>
      </c>
      <c r="B13" s="3" t="s">
        <v>83</v>
      </c>
      <c r="C13" s="2" t="s">
        <v>18</v>
      </c>
      <c r="D13" s="4" t="s">
        <v>19</v>
      </c>
      <c r="E13" s="4" t="s">
        <v>20</v>
      </c>
      <c r="F13" s="4" t="s">
        <v>84</v>
      </c>
      <c r="G13" s="5" t="n">
        <v>8.8</v>
      </c>
      <c r="H13" s="2" t="s">
        <v>22</v>
      </c>
      <c r="I13" s="4" t="s">
        <v>23</v>
      </c>
      <c r="J13" s="4" t="s">
        <v>58</v>
      </c>
      <c r="K13" s="4" t="s">
        <v>25</v>
      </c>
      <c r="L13" s="4" t="s">
        <v>26</v>
      </c>
      <c r="M13" s="2" t="s">
        <v>27</v>
      </c>
      <c r="N13" s="2"/>
      <c r="O13" s="2" t="s">
        <v>28</v>
      </c>
      <c r="P13" s="4" t="s">
        <v>85</v>
      </c>
      <c r="Q13" s="6" t="s">
        <v>30</v>
      </c>
    </row>
    <row r="14" customFormat="false" ht="23.85" hidden="false" customHeight="false" outlineLevel="0" collapsed="false">
      <c r="A14" s="2" t="n">
        <v>13</v>
      </c>
      <c r="B14" s="3" t="s">
        <v>86</v>
      </c>
      <c r="C14" s="2" t="s">
        <v>87</v>
      </c>
      <c r="D14" s="4" t="s">
        <v>19</v>
      </c>
      <c r="E14" s="4" t="s">
        <v>20</v>
      </c>
      <c r="F14" s="4" t="s">
        <v>88</v>
      </c>
      <c r="G14" s="5" t="n">
        <v>8.2</v>
      </c>
      <c r="H14" s="2" t="s">
        <v>41</v>
      </c>
      <c r="I14" s="4" t="s">
        <v>23</v>
      </c>
      <c r="J14" s="4" t="s">
        <v>89</v>
      </c>
      <c r="K14" s="4" t="s">
        <v>25</v>
      </c>
      <c r="L14" s="4" t="s">
        <v>26</v>
      </c>
      <c r="M14" s="2" t="s">
        <v>27</v>
      </c>
      <c r="N14" s="2"/>
      <c r="O14" s="2" t="s">
        <v>28</v>
      </c>
      <c r="P14" s="4" t="s">
        <v>90</v>
      </c>
      <c r="Q14" s="6" t="s">
        <v>30</v>
      </c>
    </row>
    <row r="15" customFormat="false" ht="23.85" hidden="false" customHeight="false" outlineLevel="0" collapsed="false">
      <c r="A15" s="2" t="n">
        <v>14</v>
      </c>
      <c r="B15" s="3" t="s">
        <v>91</v>
      </c>
      <c r="C15" s="2" t="s">
        <v>56</v>
      </c>
      <c r="D15" s="4" t="s">
        <v>19</v>
      </c>
      <c r="E15" s="4" t="s">
        <v>20</v>
      </c>
      <c r="F15" s="4" t="s">
        <v>92</v>
      </c>
      <c r="G15" s="5" t="n">
        <v>8.2</v>
      </c>
      <c r="H15" s="2" t="s">
        <v>70</v>
      </c>
      <c r="I15" s="4" t="s">
        <v>23</v>
      </c>
      <c r="J15" s="4" t="s">
        <v>24</v>
      </c>
      <c r="K15" s="4" t="s">
        <v>59</v>
      </c>
      <c r="L15" s="4" t="s">
        <v>26</v>
      </c>
      <c r="M15" s="2" t="s">
        <v>27</v>
      </c>
      <c r="N15" s="2"/>
      <c r="O15" s="2" t="s">
        <v>28</v>
      </c>
      <c r="P15" s="4" t="s">
        <v>93</v>
      </c>
      <c r="Q15" s="6" t="s">
        <v>30</v>
      </c>
    </row>
    <row r="16" customFormat="false" ht="23.85" hidden="false" customHeight="false" outlineLevel="0" collapsed="false">
      <c r="A16" s="2" t="n">
        <v>15</v>
      </c>
      <c r="B16" s="3" t="s">
        <v>94</v>
      </c>
      <c r="C16" s="2" t="s">
        <v>39</v>
      </c>
      <c r="D16" s="4" t="s">
        <v>19</v>
      </c>
      <c r="E16" s="4" t="s">
        <v>20</v>
      </c>
      <c r="F16" s="4" t="s">
        <v>95</v>
      </c>
      <c r="G16" s="5" t="n">
        <v>8.2</v>
      </c>
      <c r="H16" s="2" t="s">
        <v>70</v>
      </c>
      <c r="I16" s="4" t="s">
        <v>23</v>
      </c>
      <c r="J16" s="4" t="s">
        <v>96</v>
      </c>
      <c r="K16" s="4" t="s">
        <v>59</v>
      </c>
      <c r="L16" s="4" t="s">
        <v>26</v>
      </c>
      <c r="M16" s="2" t="s">
        <v>36</v>
      </c>
      <c r="N16" s="2" t="n">
        <v>8</v>
      </c>
      <c r="O16" s="2" t="s">
        <v>37</v>
      </c>
      <c r="P16" s="4"/>
      <c r="Q16" s="6" t="s">
        <v>30</v>
      </c>
    </row>
    <row r="17" customFormat="false" ht="15" hidden="false" customHeight="false" outlineLevel="0" collapsed="false">
      <c r="A17" s="2" t="n">
        <v>16</v>
      </c>
      <c r="B17" s="3" t="s">
        <v>97</v>
      </c>
      <c r="C17" s="2" t="s">
        <v>87</v>
      </c>
      <c r="D17" s="4" t="s">
        <v>19</v>
      </c>
      <c r="E17" s="4" t="s">
        <v>20</v>
      </c>
      <c r="F17" s="4" t="s">
        <v>98</v>
      </c>
      <c r="G17" s="5" t="n">
        <v>8.2</v>
      </c>
      <c r="H17" s="2" t="s">
        <v>99</v>
      </c>
      <c r="I17" s="4" t="s">
        <v>23</v>
      </c>
      <c r="J17" s="4" t="s">
        <v>65</v>
      </c>
      <c r="K17" s="4" t="s">
        <v>25</v>
      </c>
      <c r="L17" s="4" t="s">
        <v>26</v>
      </c>
      <c r="M17" s="2" t="s">
        <v>36</v>
      </c>
      <c r="N17" s="2" t="n">
        <v>5</v>
      </c>
      <c r="O17" s="2" t="s">
        <v>37</v>
      </c>
      <c r="P17" s="4"/>
      <c r="Q17" s="6" t="s">
        <v>30</v>
      </c>
    </row>
    <row r="18" customFormat="false" ht="15" hidden="false" customHeight="false" outlineLevel="0" collapsed="false">
      <c r="A18" s="2" t="n">
        <v>17</v>
      </c>
      <c r="B18" s="3" t="s">
        <v>100</v>
      </c>
      <c r="C18" s="2" t="s">
        <v>101</v>
      </c>
      <c r="D18" s="4" t="s">
        <v>19</v>
      </c>
      <c r="E18" s="4" t="s">
        <v>20</v>
      </c>
      <c r="F18" s="4" t="s">
        <v>102</v>
      </c>
      <c r="G18" s="5" t="n">
        <v>8.1</v>
      </c>
      <c r="H18" s="2" t="s">
        <v>70</v>
      </c>
      <c r="I18" s="4" t="s">
        <v>23</v>
      </c>
      <c r="J18" s="4" t="s">
        <v>65</v>
      </c>
      <c r="K18" s="4" t="s">
        <v>103</v>
      </c>
      <c r="L18" s="4" t="s">
        <v>26</v>
      </c>
      <c r="M18" s="2" t="s">
        <v>27</v>
      </c>
      <c r="N18" s="2"/>
      <c r="O18" s="2" t="s">
        <v>60</v>
      </c>
      <c r="P18" s="4" t="s">
        <v>104</v>
      </c>
      <c r="Q18" s="6" t="s">
        <v>30</v>
      </c>
    </row>
    <row r="19" customFormat="false" ht="23.85" hidden="false" customHeight="false" outlineLevel="0" collapsed="false">
      <c r="A19" s="2" t="n">
        <v>18</v>
      </c>
      <c r="B19" s="3" t="s">
        <v>105</v>
      </c>
      <c r="C19" s="2" t="s">
        <v>106</v>
      </c>
      <c r="D19" s="4" t="s">
        <v>19</v>
      </c>
      <c r="E19" s="4" t="s">
        <v>20</v>
      </c>
      <c r="F19" s="4" t="s">
        <v>107</v>
      </c>
      <c r="G19" s="5" t="n">
        <v>8.1</v>
      </c>
      <c r="H19" s="2" t="s">
        <v>70</v>
      </c>
      <c r="I19" s="4" t="s">
        <v>34</v>
      </c>
      <c r="J19" s="4" t="s">
        <v>108</v>
      </c>
      <c r="K19" s="4" t="s">
        <v>25</v>
      </c>
      <c r="L19" s="4" t="s">
        <v>26</v>
      </c>
      <c r="M19" s="2" t="s">
        <v>27</v>
      </c>
      <c r="N19" s="2"/>
      <c r="O19" s="2" t="s">
        <v>50</v>
      </c>
      <c r="P19" s="4" t="s">
        <v>109</v>
      </c>
      <c r="Q19" s="6" t="s">
        <v>30</v>
      </c>
    </row>
    <row r="20" customFormat="false" ht="15" hidden="false" customHeight="false" outlineLevel="0" collapsed="false">
      <c r="A20" s="2" t="n">
        <v>19</v>
      </c>
      <c r="B20" s="3" t="s">
        <v>110</v>
      </c>
      <c r="C20" s="2" t="s">
        <v>48</v>
      </c>
      <c r="D20" s="4" t="s">
        <v>19</v>
      </c>
      <c r="E20" s="4" t="s">
        <v>20</v>
      </c>
      <c r="F20" s="4" t="s">
        <v>95</v>
      </c>
      <c r="G20" s="5" t="n">
        <v>8.2</v>
      </c>
      <c r="H20" s="2" t="s">
        <v>70</v>
      </c>
      <c r="I20" s="4" t="s">
        <v>23</v>
      </c>
      <c r="J20" s="4" t="s">
        <v>24</v>
      </c>
      <c r="K20" s="4" t="s">
        <v>37</v>
      </c>
      <c r="L20" s="4" t="s">
        <v>26</v>
      </c>
      <c r="M20" s="2" t="s">
        <v>27</v>
      </c>
      <c r="N20" s="2"/>
      <c r="O20" s="2" t="s">
        <v>28</v>
      </c>
      <c r="P20" s="4" t="s">
        <v>111</v>
      </c>
      <c r="Q20" s="6" t="s">
        <v>30</v>
      </c>
    </row>
    <row r="21" customFormat="false" ht="15" hidden="false" customHeight="false" outlineLevel="0" collapsed="false">
      <c r="A21" s="2" t="n">
        <v>20</v>
      </c>
      <c r="B21" s="3" t="s">
        <v>112</v>
      </c>
      <c r="C21" s="2" t="s">
        <v>43</v>
      </c>
      <c r="D21" s="4" t="s">
        <v>19</v>
      </c>
      <c r="E21" s="4" t="s">
        <v>20</v>
      </c>
      <c r="F21" s="4" t="s">
        <v>49</v>
      </c>
      <c r="G21" s="5" t="n">
        <v>7.9</v>
      </c>
      <c r="H21" s="2" t="s">
        <v>113</v>
      </c>
      <c r="I21" s="4" t="s">
        <v>80</v>
      </c>
      <c r="J21" s="4" t="s">
        <v>114</v>
      </c>
      <c r="K21" s="4" t="s">
        <v>25</v>
      </c>
      <c r="L21" s="4" t="s">
        <v>26</v>
      </c>
      <c r="M21" s="2" t="s">
        <v>27</v>
      </c>
      <c r="N21" s="2"/>
      <c r="O21" s="2" t="s">
        <v>50</v>
      </c>
      <c r="P21" s="4" t="s">
        <v>115</v>
      </c>
      <c r="Q21" s="6" t="s">
        <v>30</v>
      </c>
    </row>
    <row r="22" customFormat="false" ht="15" hidden="false" customHeight="false" outlineLevel="0" collapsed="false">
      <c r="A22" s="2" t="n">
        <v>21</v>
      </c>
      <c r="B22" s="3" t="s">
        <v>116</v>
      </c>
      <c r="C22" s="2" t="s">
        <v>117</v>
      </c>
      <c r="D22" s="4" t="s">
        <v>19</v>
      </c>
      <c r="E22" s="4" t="s">
        <v>20</v>
      </c>
      <c r="F22" s="4" t="s">
        <v>118</v>
      </c>
      <c r="G22" s="5" t="n">
        <v>7.5</v>
      </c>
      <c r="H22" s="2" t="s">
        <v>119</v>
      </c>
      <c r="I22" s="4" t="s">
        <v>23</v>
      </c>
      <c r="J22" s="4" t="s">
        <v>24</v>
      </c>
      <c r="K22" s="4" t="s">
        <v>25</v>
      </c>
      <c r="L22" s="4" t="s">
        <v>120</v>
      </c>
      <c r="M22" s="2" t="s">
        <v>27</v>
      </c>
      <c r="N22" s="2"/>
      <c r="O22" s="2" t="s">
        <v>28</v>
      </c>
      <c r="P22" s="4" t="s">
        <v>121</v>
      </c>
      <c r="Q22" s="6" t="s">
        <v>30</v>
      </c>
    </row>
    <row r="23" customFormat="false" ht="23.85" hidden="false" customHeight="false" outlineLevel="0" collapsed="false">
      <c r="A23" s="2" t="n">
        <v>22</v>
      </c>
      <c r="B23" s="3" t="s">
        <v>122</v>
      </c>
      <c r="C23" s="2" t="s">
        <v>123</v>
      </c>
      <c r="D23" s="4" t="s">
        <v>19</v>
      </c>
      <c r="E23" s="4" t="s">
        <v>20</v>
      </c>
      <c r="F23" s="4" t="s">
        <v>124</v>
      </c>
      <c r="G23" s="5" t="n">
        <v>7.7</v>
      </c>
      <c r="H23" s="2" t="s">
        <v>125</v>
      </c>
      <c r="I23" s="4" t="s">
        <v>126</v>
      </c>
      <c r="J23" s="4" t="s">
        <v>127</v>
      </c>
      <c r="K23" s="4" t="s">
        <v>37</v>
      </c>
      <c r="L23" s="4" t="s">
        <v>120</v>
      </c>
      <c r="M23" s="2" t="s">
        <v>27</v>
      </c>
      <c r="N23" s="2"/>
      <c r="O23" s="2" t="s">
        <v>28</v>
      </c>
      <c r="P23" s="4" t="s">
        <v>128</v>
      </c>
      <c r="Q23" s="6" t="s">
        <v>30</v>
      </c>
    </row>
    <row r="24" customFormat="false" ht="15" hidden="false" customHeight="false" outlineLevel="0" collapsed="false">
      <c r="A24" s="2" t="n">
        <v>23</v>
      </c>
      <c r="B24" s="3" t="s">
        <v>129</v>
      </c>
      <c r="C24" s="2" t="s">
        <v>130</v>
      </c>
      <c r="D24" s="4" t="s">
        <v>19</v>
      </c>
      <c r="E24" s="4" t="s">
        <v>20</v>
      </c>
      <c r="F24" s="4" t="s">
        <v>131</v>
      </c>
      <c r="G24" s="5" t="n">
        <v>6.7</v>
      </c>
      <c r="H24" s="2" t="s">
        <v>132</v>
      </c>
      <c r="I24" s="4" t="s">
        <v>126</v>
      </c>
      <c r="J24" s="4" t="s">
        <v>24</v>
      </c>
      <c r="K24" s="4" t="s">
        <v>37</v>
      </c>
      <c r="L24" s="4" t="s">
        <v>120</v>
      </c>
      <c r="M24" s="2" t="s">
        <v>27</v>
      </c>
      <c r="N24" s="2"/>
      <c r="O24" s="2" t="s">
        <v>28</v>
      </c>
      <c r="P24" s="4" t="s">
        <v>133</v>
      </c>
      <c r="Q24" s="6" t="s">
        <v>30</v>
      </c>
    </row>
    <row r="25" customFormat="false" ht="15" hidden="false" customHeight="false" outlineLevel="0" collapsed="false">
      <c r="A25" s="2" t="n">
        <v>24</v>
      </c>
      <c r="B25" s="3" t="s">
        <v>134</v>
      </c>
      <c r="C25" s="2" t="s">
        <v>101</v>
      </c>
      <c r="D25" s="4" t="s">
        <v>19</v>
      </c>
      <c r="E25" s="4" t="s">
        <v>20</v>
      </c>
      <c r="F25" s="4" t="s">
        <v>135</v>
      </c>
      <c r="G25" s="5" t="n">
        <v>7</v>
      </c>
      <c r="H25" s="2" t="s">
        <v>136</v>
      </c>
      <c r="I25" s="4" t="s">
        <v>80</v>
      </c>
      <c r="J25" s="4" t="s">
        <v>75</v>
      </c>
      <c r="K25" s="4" t="s">
        <v>25</v>
      </c>
      <c r="L25" s="4" t="s">
        <v>120</v>
      </c>
      <c r="M25" s="2" t="s">
        <v>27</v>
      </c>
      <c r="N25" s="2"/>
      <c r="O25" s="2" t="s">
        <v>60</v>
      </c>
      <c r="P25" s="4" t="s">
        <v>137</v>
      </c>
      <c r="Q25" s="6" t="s">
        <v>30</v>
      </c>
    </row>
    <row r="26" customFormat="false" ht="15" hidden="false" customHeight="false" outlineLevel="0" collapsed="false">
      <c r="A26" s="2" t="n">
        <v>25</v>
      </c>
      <c r="B26" s="3" t="s">
        <v>138</v>
      </c>
      <c r="C26" s="2" t="s">
        <v>139</v>
      </c>
      <c r="D26" s="4" t="s">
        <v>19</v>
      </c>
      <c r="E26" s="4" t="s">
        <v>20</v>
      </c>
      <c r="F26" s="4" t="s">
        <v>118</v>
      </c>
      <c r="G26" s="5" t="n">
        <v>7.9</v>
      </c>
      <c r="H26" s="2" t="s">
        <v>140</v>
      </c>
      <c r="I26" s="4" t="s">
        <v>23</v>
      </c>
      <c r="J26" s="4" t="s">
        <v>141</v>
      </c>
      <c r="K26" s="4" t="s">
        <v>25</v>
      </c>
      <c r="L26" s="4" t="s">
        <v>120</v>
      </c>
      <c r="M26" s="2" t="s">
        <v>27</v>
      </c>
      <c r="N26" s="2"/>
      <c r="O26" s="2" t="s">
        <v>60</v>
      </c>
      <c r="P26" s="4" t="s">
        <v>142</v>
      </c>
      <c r="Q26" s="6" t="s">
        <v>30</v>
      </c>
    </row>
    <row r="27" customFormat="false" ht="15" hidden="false" customHeight="false" outlineLevel="0" collapsed="false">
      <c r="A27" s="2" t="n">
        <v>26</v>
      </c>
      <c r="B27" s="3" t="s">
        <v>143</v>
      </c>
      <c r="C27" s="2" t="s">
        <v>144</v>
      </c>
      <c r="D27" s="4" t="s">
        <v>19</v>
      </c>
      <c r="E27" s="4" t="s">
        <v>20</v>
      </c>
      <c r="F27" s="4" t="s">
        <v>145</v>
      </c>
      <c r="G27" s="5" t="n">
        <v>7.5</v>
      </c>
      <c r="H27" s="2" t="s">
        <v>146</v>
      </c>
      <c r="I27" s="4" t="s">
        <v>23</v>
      </c>
      <c r="J27" s="4" t="s">
        <v>24</v>
      </c>
      <c r="K27" s="4" t="s">
        <v>37</v>
      </c>
      <c r="L27" s="4" t="s">
        <v>120</v>
      </c>
      <c r="M27" s="2" t="s">
        <v>27</v>
      </c>
      <c r="N27" s="2"/>
      <c r="O27" s="2" t="s">
        <v>28</v>
      </c>
      <c r="P27" s="4"/>
      <c r="Q27" s="6" t="s">
        <v>30</v>
      </c>
    </row>
    <row r="28" customFormat="false" ht="15" hidden="false" customHeight="false" outlineLevel="0" collapsed="false">
      <c r="A28" s="2" t="n">
        <v>27</v>
      </c>
      <c r="B28" s="3" t="s">
        <v>147</v>
      </c>
      <c r="C28" s="2" t="s">
        <v>139</v>
      </c>
      <c r="D28" s="4" t="s">
        <v>19</v>
      </c>
      <c r="E28" s="4" t="s">
        <v>20</v>
      </c>
      <c r="F28" s="4" t="s">
        <v>118</v>
      </c>
      <c r="G28" s="5" t="n">
        <v>6.6</v>
      </c>
      <c r="H28" s="2" t="s">
        <v>148</v>
      </c>
      <c r="I28" s="4" t="s">
        <v>126</v>
      </c>
      <c r="J28" s="4" t="s">
        <v>24</v>
      </c>
      <c r="K28" s="4" t="s">
        <v>37</v>
      </c>
      <c r="L28" s="4" t="s">
        <v>120</v>
      </c>
      <c r="M28" s="2" t="s">
        <v>27</v>
      </c>
      <c r="N28" s="2"/>
      <c r="O28" s="2" t="s">
        <v>28</v>
      </c>
      <c r="P28" s="4"/>
      <c r="Q28" s="6" t="s">
        <v>30</v>
      </c>
    </row>
    <row r="29" customFormat="false" ht="15" hidden="false" customHeight="false" outlineLevel="0" collapsed="false">
      <c r="A29" s="2" t="n">
        <v>28</v>
      </c>
      <c r="B29" s="3" t="s">
        <v>149</v>
      </c>
      <c r="C29" s="2" t="s">
        <v>150</v>
      </c>
      <c r="D29" s="4" t="s">
        <v>19</v>
      </c>
      <c r="E29" s="4" t="s">
        <v>20</v>
      </c>
      <c r="F29" s="4" t="s">
        <v>151</v>
      </c>
      <c r="G29" s="5" t="n">
        <v>6.8</v>
      </c>
      <c r="H29" s="2" t="s">
        <v>152</v>
      </c>
      <c r="I29" s="4" t="s">
        <v>23</v>
      </c>
      <c r="J29" s="4" t="s">
        <v>24</v>
      </c>
      <c r="K29" s="4" t="s">
        <v>37</v>
      </c>
      <c r="L29" s="4" t="s">
        <v>120</v>
      </c>
      <c r="M29" s="2" t="s">
        <v>27</v>
      </c>
      <c r="N29" s="2"/>
      <c r="O29" s="2" t="s">
        <v>28</v>
      </c>
      <c r="P29" s="4" t="s">
        <v>153</v>
      </c>
      <c r="Q29" s="6" t="s">
        <v>30</v>
      </c>
    </row>
    <row r="30" customFormat="false" ht="15" hidden="false" customHeight="false" outlineLevel="0" collapsed="false">
      <c r="A30" s="2" t="n">
        <v>29</v>
      </c>
      <c r="B30" s="3" t="s">
        <v>154</v>
      </c>
      <c r="C30" s="2" t="s">
        <v>155</v>
      </c>
      <c r="D30" s="4" t="s">
        <v>19</v>
      </c>
      <c r="E30" s="4" t="s">
        <v>20</v>
      </c>
      <c r="F30" s="4" t="s">
        <v>156</v>
      </c>
      <c r="G30" s="5" t="n">
        <v>6.8</v>
      </c>
      <c r="H30" s="2" t="s">
        <v>157</v>
      </c>
      <c r="I30" s="4" t="s">
        <v>23</v>
      </c>
      <c r="J30" s="4" t="s">
        <v>65</v>
      </c>
      <c r="K30" s="4" t="s">
        <v>103</v>
      </c>
      <c r="L30" s="4" t="s">
        <v>120</v>
      </c>
      <c r="M30" s="2" t="s">
        <v>27</v>
      </c>
      <c r="N30" s="2"/>
      <c r="O30" s="2" t="s">
        <v>28</v>
      </c>
      <c r="P30" s="4" t="s">
        <v>158</v>
      </c>
      <c r="Q30" s="6" t="s">
        <v>30</v>
      </c>
    </row>
    <row r="31" customFormat="false" ht="23.85" hidden="false" customHeight="false" outlineLevel="0" collapsed="false">
      <c r="A31" s="2" t="n">
        <v>30</v>
      </c>
      <c r="B31" s="3" t="s">
        <v>159</v>
      </c>
      <c r="C31" s="2" t="s">
        <v>63</v>
      </c>
      <c r="D31" s="4" t="s">
        <v>19</v>
      </c>
      <c r="E31" s="4" t="s">
        <v>20</v>
      </c>
      <c r="F31" s="4" t="s">
        <v>160</v>
      </c>
      <c r="G31" s="5" t="n">
        <v>6.7</v>
      </c>
      <c r="H31" s="2" t="s">
        <v>161</v>
      </c>
      <c r="I31" s="4" t="s">
        <v>34</v>
      </c>
      <c r="J31" s="4" t="s">
        <v>162</v>
      </c>
      <c r="K31" s="4" t="s">
        <v>163</v>
      </c>
      <c r="L31" s="4" t="s">
        <v>164</v>
      </c>
      <c r="M31" s="2" t="s">
        <v>27</v>
      </c>
      <c r="N31" s="2"/>
      <c r="O31" s="2" t="s">
        <v>50</v>
      </c>
      <c r="P31" s="4" t="s">
        <v>165</v>
      </c>
      <c r="Q31" s="6" t="s">
        <v>30</v>
      </c>
    </row>
    <row r="32" customFormat="false" ht="23.85" hidden="false" customHeight="false" outlineLevel="0" collapsed="false">
      <c r="A32" s="2" t="n">
        <v>31</v>
      </c>
      <c r="B32" s="3" t="s">
        <v>166</v>
      </c>
      <c r="C32" s="2" t="s">
        <v>167</v>
      </c>
      <c r="D32" s="4" t="s">
        <v>19</v>
      </c>
      <c r="E32" s="4" t="s">
        <v>20</v>
      </c>
      <c r="F32" s="4" t="s">
        <v>168</v>
      </c>
      <c r="G32" s="5" t="n">
        <v>6.7</v>
      </c>
      <c r="H32" s="2" t="s">
        <v>169</v>
      </c>
      <c r="I32" s="4" t="s">
        <v>34</v>
      </c>
      <c r="J32" s="4" t="s">
        <v>162</v>
      </c>
      <c r="K32" s="4" t="s">
        <v>59</v>
      </c>
      <c r="L32" s="4" t="s">
        <v>164</v>
      </c>
      <c r="M32" s="2" t="s">
        <v>27</v>
      </c>
      <c r="N32" s="2"/>
      <c r="O32" s="2" t="s">
        <v>50</v>
      </c>
      <c r="P32" s="4" t="s">
        <v>170</v>
      </c>
      <c r="Q32" s="6" t="s">
        <v>30</v>
      </c>
    </row>
    <row r="33" customFormat="false" ht="23.85" hidden="false" customHeight="false" outlineLevel="0" collapsed="false">
      <c r="A33" s="2" t="n">
        <v>32</v>
      </c>
      <c r="B33" s="3" t="s">
        <v>171</v>
      </c>
      <c r="C33" s="2" t="s">
        <v>68</v>
      </c>
      <c r="D33" s="4" t="s">
        <v>19</v>
      </c>
      <c r="E33" s="4" t="s">
        <v>20</v>
      </c>
      <c r="F33" s="4" t="s">
        <v>172</v>
      </c>
      <c r="G33" s="5" t="n">
        <v>5.7</v>
      </c>
      <c r="H33" s="2" t="s">
        <v>173</v>
      </c>
      <c r="I33" s="4" t="s">
        <v>126</v>
      </c>
      <c r="J33" s="4" t="s">
        <v>24</v>
      </c>
      <c r="K33" s="4" t="s">
        <v>37</v>
      </c>
      <c r="L33" s="4" t="s">
        <v>164</v>
      </c>
      <c r="M33" s="2" t="s">
        <v>27</v>
      </c>
      <c r="N33" s="2"/>
      <c r="O33" s="2" t="s">
        <v>28</v>
      </c>
      <c r="P33" s="4"/>
      <c r="Q33" s="6" t="s">
        <v>30</v>
      </c>
    </row>
    <row r="34" customFormat="false" ht="23.85" hidden="false" customHeight="false" outlineLevel="0" collapsed="false">
      <c r="A34" s="2" t="n">
        <v>33</v>
      </c>
      <c r="B34" s="3" t="s">
        <v>174</v>
      </c>
      <c r="C34" s="2" t="s">
        <v>150</v>
      </c>
      <c r="D34" s="4" t="s">
        <v>19</v>
      </c>
      <c r="E34" s="4" t="s">
        <v>20</v>
      </c>
      <c r="F34" s="4" t="s">
        <v>175</v>
      </c>
      <c r="G34" s="5" t="n">
        <v>4.7</v>
      </c>
      <c r="H34" s="2" t="s">
        <v>176</v>
      </c>
      <c r="I34" s="4" t="s">
        <v>126</v>
      </c>
      <c r="J34" s="4" t="s">
        <v>24</v>
      </c>
      <c r="K34" s="4" t="s">
        <v>103</v>
      </c>
      <c r="L34" s="4" t="s">
        <v>164</v>
      </c>
      <c r="M34" s="2" t="s">
        <v>27</v>
      </c>
      <c r="N34" s="2"/>
      <c r="O34" s="2" t="s">
        <v>28</v>
      </c>
      <c r="P34" s="4" t="s">
        <v>177</v>
      </c>
      <c r="Q34" s="6" t="s">
        <v>30</v>
      </c>
    </row>
    <row r="35" customFormat="false" ht="23.85" hidden="false" customHeight="false" outlineLevel="0" collapsed="false">
      <c r="A35" s="2" t="n">
        <v>34</v>
      </c>
      <c r="B35" s="3" t="s">
        <v>178</v>
      </c>
      <c r="C35" s="2" t="s">
        <v>179</v>
      </c>
      <c r="D35" s="4" t="s">
        <v>19</v>
      </c>
      <c r="E35" s="4" t="s">
        <v>20</v>
      </c>
      <c r="F35" s="4" t="s">
        <v>172</v>
      </c>
      <c r="G35" s="5" t="n">
        <v>4.7</v>
      </c>
      <c r="H35" s="2" t="s">
        <v>180</v>
      </c>
      <c r="I35" s="4" t="s">
        <v>126</v>
      </c>
      <c r="J35" s="4" t="s">
        <v>24</v>
      </c>
      <c r="K35" s="4" t="s">
        <v>103</v>
      </c>
      <c r="L35" s="4" t="s">
        <v>164</v>
      </c>
      <c r="M35" s="2" t="s">
        <v>27</v>
      </c>
      <c r="N35" s="2"/>
      <c r="O35" s="2" t="s">
        <v>28</v>
      </c>
      <c r="P35" s="4" t="s">
        <v>177</v>
      </c>
      <c r="Q35" s="6" t="s">
        <v>30</v>
      </c>
    </row>
    <row r="36" customFormat="false" ht="23.85" hidden="false" customHeight="false" outlineLevel="0" collapsed="false">
      <c r="A36" s="2" t="n">
        <v>35</v>
      </c>
      <c r="B36" s="3" t="s">
        <v>181</v>
      </c>
      <c r="C36" s="2" t="s">
        <v>43</v>
      </c>
      <c r="D36" s="4" t="s">
        <v>19</v>
      </c>
      <c r="E36" s="4" t="s">
        <v>20</v>
      </c>
      <c r="F36" s="4" t="s">
        <v>182</v>
      </c>
      <c r="G36" s="5" t="n">
        <v>6.3</v>
      </c>
      <c r="H36" s="2" t="s">
        <v>183</v>
      </c>
      <c r="I36" s="4" t="s">
        <v>23</v>
      </c>
      <c r="J36" s="4" t="s">
        <v>24</v>
      </c>
      <c r="K36" s="4" t="s">
        <v>103</v>
      </c>
      <c r="L36" s="4" t="s">
        <v>164</v>
      </c>
      <c r="M36" s="2" t="s">
        <v>27</v>
      </c>
      <c r="N36" s="2"/>
      <c r="O36" s="2" t="s">
        <v>28</v>
      </c>
      <c r="P36" s="4" t="s">
        <v>184</v>
      </c>
      <c r="Q36" s="6" t="s">
        <v>30</v>
      </c>
    </row>
    <row r="37" customFormat="false" ht="23.85" hidden="false" customHeight="false" outlineLevel="0" collapsed="false">
      <c r="A37" s="2" t="n">
        <v>36</v>
      </c>
      <c r="B37" s="3" t="s">
        <v>185</v>
      </c>
      <c r="C37" s="2" t="s">
        <v>43</v>
      </c>
      <c r="D37" s="4" t="s">
        <v>19</v>
      </c>
      <c r="E37" s="4" t="s">
        <v>20</v>
      </c>
      <c r="F37" s="4" t="s">
        <v>186</v>
      </c>
      <c r="G37" s="5" t="n">
        <v>4.7</v>
      </c>
      <c r="H37" s="2" t="s">
        <v>187</v>
      </c>
      <c r="I37" s="4" t="s">
        <v>23</v>
      </c>
      <c r="J37" s="4" t="s">
        <v>24</v>
      </c>
      <c r="K37" s="4" t="s">
        <v>37</v>
      </c>
      <c r="L37" s="4" t="s">
        <v>164</v>
      </c>
      <c r="M37" s="2" t="s">
        <v>27</v>
      </c>
      <c r="N37" s="2"/>
      <c r="O37" s="2" t="s">
        <v>28</v>
      </c>
      <c r="P37" s="4" t="s">
        <v>188</v>
      </c>
      <c r="Q37" s="6" t="s">
        <v>30</v>
      </c>
    </row>
    <row r="38" customFormat="false" ht="23.85" hidden="false" customHeight="false" outlineLevel="0" collapsed="false">
      <c r="A38" s="2" t="n">
        <v>37</v>
      </c>
      <c r="B38" s="3" t="s">
        <v>189</v>
      </c>
      <c r="C38" s="2" t="s">
        <v>179</v>
      </c>
      <c r="D38" s="4" t="s">
        <v>19</v>
      </c>
      <c r="E38" s="4" t="s">
        <v>20</v>
      </c>
      <c r="F38" s="4" t="s">
        <v>190</v>
      </c>
      <c r="G38" s="5" t="n">
        <v>6.9</v>
      </c>
      <c r="H38" s="2" t="s">
        <v>191</v>
      </c>
      <c r="I38" s="4" t="s">
        <v>34</v>
      </c>
      <c r="J38" s="4" t="s">
        <v>58</v>
      </c>
      <c r="K38" s="4" t="s">
        <v>37</v>
      </c>
      <c r="L38" s="4" t="s">
        <v>164</v>
      </c>
      <c r="M38" s="2" t="s">
        <v>27</v>
      </c>
      <c r="N38" s="2"/>
      <c r="O38" s="2" t="s">
        <v>50</v>
      </c>
      <c r="P38" s="4" t="s">
        <v>192</v>
      </c>
      <c r="Q38" s="6" t="s">
        <v>30</v>
      </c>
    </row>
    <row r="39" customFormat="false" ht="23.85" hidden="false" customHeight="false" outlineLevel="0" collapsed="false">
      <c r="A39" s="2" t="n">
        <v>38</v>
      </c>
      <c r="B39" s="3" t="s">
        <v>193</v>
      </c>
      <c r="C39" s="2" t="s">
        <v>179</v>
      </c>
      <c r="D39" s="4" t="s">
        <v>194</v>
      </c>
      <c r="E39" s="4" t="s">
        <v>20</v>
      </c>
      <c r="F39" s="4" t="s">
        <v>195</v>
      </c>
      <c r="G39" s="5" t="n">
        <v>6.2</v>
      </c>
      <c r="H39" s="2" t="s">
        <v>196</v>
      </c>
      <c r="I39" s="4" t="s">
        <v>126</v>
      </c>
      <c r="J39" s="4" t="s">
        <v>24</v>
      </c>
      <c r="K39" s="4" t="s">
        <v>37</v>
      </c>
      <c r="L39" s="4" t="s">
        <v>164</v>
      </c>
      <c r="M39" s="2" t="s">
        <v>27</v>
      </c>
      <c r="N39" s="2"/>
      <c r="O39" s="2" t="s">
        <v>28</v>
      </c>
      <c r="P39" s="4"/>
      <c r="Q39" s="6" t="s">
        <v>30</v>
      </c>
    </row>
    <row r="40" customFormat="false" ht="23.85" hidden="false" customHeight="false" outlineLevel="0" collapsed="false">
      <c r="A40" s="2" t="n">
        <v>39</v>
      </c>
      <c r="B40" s="3" t="s">
        <v>197</v>
      </c>
      <c r="C40" s="2" t="s">
        <v>63</v>
      </c>
      <c r="D40" s="4" t="s">
        <v>19</v>
      </c>
      <c r="E40" s="4" t="s">
        <v>20</v>
      </c>
      <c r="F40" s="4" t="s">
        <v>198</v>
      </c>
      <c r="G40" s="5" t="n">
        <v>5.2</v>
      </c>
      <c r="H40" s="2" t="s">
        <v>199</v>
      </c>
      <c r="I40" s="4" t="s">
        <v>23</v>
      </c>
      <c r="J40" s="4" t="s">
        <v>200</v>
      </c>
      <c r="K40" s="4" t="s">
        <v>37</v>
      </c>
      <c r="L40" s="4" t="s">
        <v>164</v>
      </c>
      <c r="M40" s="2" t="s">
        <v>27</v>
      </c>
      <c r="N40" s="2"/>
      <c r="O40" s="2" t="s">
        <v>28</v>
      </c>
      <c r="P40" s="4" t="s">
        <v>201</v>
      </c>
      <c r="Q40" s="6" t="s">
        <v>30</v>
      </c>
    </row>
    <row r="41" customFormat="false" ht="23.85" hidden="false" customHeight="false" outlineLevel="0" collapsed="false">
      <c r="A41" s="2" t="n">
        <v>40</v>
      </c>
      <c r="B41" s="3" t="s">
        <v>202</v>
      </c>
      <c r="C41" s="2" t="s">
        <v>43</v>
      </c>
      <c r="D41" s="4" t="s">
        <v>19</v>
      </c>
      <c r="E41" s="4" t="s">
        <v>20</v>
      </c>
      <c r="F41" s="4" t="s">
        <v>203</v>
      </c>
      <c r="G41" s="5" t="n">
        <v>6.8</v>
      </c>
      <c r="H41" s="2" t="s">
        <v>204</v>
      </c>
      <c r="I41" s="4" t="s">
        <v>34</v>
      </c>
      <c r="J41" s="4" t="s">
        <v>58</v>
      </c>
      <c r="K41" s="4" t="s">
        <v>37</v>
      </c>
      <c r="L41" s="4" t="s">
        <v>164</v>
      </c>
      <c r="M41" s="2" t="s">
        <v>27</v>
      </c>
      <c r="N41" s="2"/>
      <c r="O41" s="2" t="s">
        <v>60</v>
      </c>
      <c r="P41" s="4" t="s">
        <v>205</v>
      </c>
      <c r="Q41" s="6" t="s">
        <v>30</v>
      </c>
    </row>
    <row r="42" customFormat="false" ht="23.85" hidden="false" customHeight="false" outlineLevel="0" collapsed="false">
      <c r="A42" s="2" t="n">
        <v>41</v>
      </c>
      <c r="B42" s="3" t="s">
        <v>206</v>
      </c>
      <c r="C42" s="2" t="s">
        <v>139</v>
      </c>
      <c r="D42" s="4" t="s">
        <v>19</v>
      </c>
      <c r="E42" s="4" t="s">
        <v>20</v>
      </c>
      <c r="F42" s="4" t="s">
        <v>207</v>
      </c>
      <c r="G42" s="5" t="n">
        <v>6.6</v>
      </c>
      <c r="H42" s="2" t="s">
        <v>208</v>
      </c>
      <c r="I42" s="4" t="s">
        <v>23</v>
      </c>
      <c r="J42" s="4" t="s">
        <v>24</v>
      </c>
      <c r="K42" s="4" t="s">
        <v>103</v>
      </c>
      <c r="L42" s="4" t="s">
        <v>164</v>
      </c>
      <c r="M42" s="2" t="s">
        <v>27</v>
      </c>
      <c r="N42" s="2"/>
      <c r="O42" s="2" t="s">
        <v>28</v>
      </c>
      <c r="P42" s="4" t="s">
        <v>209</v>
      </c>
      <c r="Q42" s="6" t="s">
        <v>30</v>
      </c>
    </row>
    <row r="43" customFormat="false" ht="23.85" hidden="false" customHeight="false" outlineLevel="0" collapsed="false">
      <c r="A43" s="2" t="n">
        <v>42</v>
      </c>
      <c r="B43" s="3" t="s">
        <v>210</v>
      </c>
      <c r="C43" s="2" t="s">
        <v>139</v>
      </c>
      <c r="D43" s="4" t="s">
        <v>19</v>
      </c>
      <c r="E43" s="4" t="s">
        <v>211</v>
      </c>
      <c r="F43" s="4" t="s">
        <v>212</v>
      </c>
      <c r="G43" s="5" t="n">
        <v>8</v>
      </c>
      <c r="H43" s="2" t="s">
        <v>213</v>
      </c>
      <c r="I43" s="4" t="s">
        <v>126</v>
      </c>
      <c r="J43" s="4" t="s">
        <v>24</v>
      </c>
      <c r="K43" s="4" t="s">
        <v>37</v>
      </c>
      <c r="L43" s="4" t="s">
        <v>214</v>
      </c>
      <c r="M43" s="2" t="s">
        <v>36</v>
      </c>
      <c r="N43" s="2" t="n">
        <v>10</v>
      </c>
      <c r="O43" s="2" t="s">
        <v>37</v>
      </c>
      <c r="P43" s="4" t="s">
        <v>215</v>
      </c>
      <c r="Q43" s="6" t="s">
        <v>30</v>
      </c>
    </row>
    <row r="44" customFormat="false" ht="23.85" hidden="false" customHeight="false" outlineLevel="0" collapsed="false">
      <c r="A44" s="2" t="n">
        <v>43</v>
      </c>
      <c r="B44" s="3" t="s">
        <v>216</v>
      </c>
      <c r="C44" s="2" t="s">
        <v>217</v>
      </c>
      <c r="D44" s="4" t="s">
        <v>19</v>
      </c>
      <c r="E44" s="4" t="s">
        <v>211</v>
      </c>
      <c r="F44" s="4" t="s">
        <v>160</v>
      </c>
      <c r="G44" s="5" t="n">
        <v>7.6</v>
      </c>
      <c r="H44" s="2" t="s">
        <v>218</v>
      </c>
      <c r="I44" s="4" t="s">
        <v>126</v>
      </c>
      <c r="J44" s="4" t="s">
        <v>24</v>
      </c>
      <c r="K44" s="4" t="s">
        <v>37</v>
      </c>
      <c r="L44" s="4" t="s">
        <v>214</v>
      </c>
      <c r="M44" s="2" t="s">
        <v>27</v>
      </c>
      <c r="N44" s="2"/>
      <c r="O44" s="2" t="s">
        <v>28</v>
      </c>
      <c r="P44" s="4" t="s">
        <v>219</v>
      </c>
      <c r="Q44" s="6" t="s">
        <v>30</v>
      </c>
    </row>
    <row r="45" customFormat="false" ht="23.85" hidden="false" customHeight="false" outlineLevel="0" collapsed="false">
      <c r="A45" s="2" t="n">
        <v>44</v>
      </c>
      <c r="B45" s="3" t="s">
        <v>220</v>
      </c>
      <c r="C45" s="2" t="s">
        <v>221</v>
      </c>
      <c r="D45" s="4" t="s">
        <v>19</v>
      </c>
      <c r="E45" s="4" t="s">
        <v>222</v>
      </c>
      <c r="F45" s="4" t="s">
        <v>95</v>
      </c>
      <c r="G45" s="5" t="n">
        <v>7.4</v>
      </c>
      <c r="H45" s="2" t="s">
        <v>223</v>
      </c>
      <c r="I45" s="4" t="s">
        <v>74</v>
      </c>
      <c r="J45" s="4" t="s">
        <v>75</v>
      </c>
      <c r="K45" s="4" t="s">
        <v>37</v>
      </c>
      <c r="L45" s="4" t="s">
        <v>214</v>
      </c>
      <c r="M45" s="2" t="s">
        <v>27</v>
      </c>
      <c r="N45" s="2"/>
      <c r="O45" s="2" t="s">
        <v>28</v>
      </c>
      <c r="P45" s="4" t="s">
        <v>224</v>
      </c>
      <c r="Q45" s="6" t="s">
        <v>30</v>
      </c>
    </row>
    <row r="46" customFormat="false" ht="15" hidden="false" customHeight="false" outlineLevel="0" collapsed="false">
      <c r="A46" s="2" t="n">
        <v>45</v>
      </c>
      <c r="B46" s="3" t="s">
        <v>225</v>
      </c>
      <c r="C46" s="2" t="s">
        <v>130</v>
      </c>
      <c r="D46" s="4" t="s">
        <v>19</v>
      </c>
      <c r="E46" s="4" t="s">
        <v>20</v>
      </c>
      <c r="F46" s="4" t="s">
        <v>95</v>
      </c>
      <c r="G46" s="5" t="n">
        <v>6.5</v>
      </c>
      <c r="H46" s="2" t="s">
        <v>226</v>
      </c>
      <c r="I46" s="4" t="s">
        <v>74</v>
      </c>
      <c r="J46" s="4" t="s">
        <v>75</v>
      </c>
      <c r="K46" s="4" t="s">
        <v>37</v>
      </c>
      <c r="L46" s="4" t="s">
        <v>227</v>
      </c>
      <c r="M46" s="2" t="s">
        <v>27</v>
      </c>
      <c r="N46" s="2"/>
      <c r="O46" s="2" t="s">
        <v>28</v>
      </c>
      <c r="P46" s="4" t="s">
        <v>228</v>
      </c>
      <c r="Q46" s="6" t="s">
        <v>30</v>
      </c>
    </row>
    <row r="47" customFormat="false" ht="15" hidden="false" customHeight="false" outlineLevel="0" collapsed="false">
      <c r="A47" s="2" t="n">
        <v>46</v>
      </c>
      <c r="B47" s="3" t="s">
        <v>229</v>
      </c>
      <c r="C47" s="2" t="s">
        <v>87</v>
      </c>
      <c r="D47" s="4" t="s">
        <v>19</v>
      </c>
      <c r="E47" s="4" t="s">
        <v>20</v>
      </c>
      <c r="F47" s="4" t="s">
        <v>98</v>
      </c>
      <c r="G47" s="5" t="n">
        <v>7</v>
      </c>
      <c r="H47" s="2" t="s">
        <v>230</v>
      </c>
      <c r="I47" s="4" t="s">
        <v>23</v>
      </c>
      <c r="J47" s="4" t="s">
        <v>24</v>
      </c>
      <c r="K47" s="4" t="s">
        <v>37</v>
      </c>
      <c r="L47" s="4" t="s">
        <v>227</v>
      </c>
      <c r="M47" s="2" t="s">
        <v>27</v>
      </c>
      <c r="N47" s="2"/>
      <c r="O47" s="2" t="s">
        <v>28</v>
      </c>
      <c r="P47" s="4" t="s">
        <v>231</v>
      </c>
      <c r="Q47" s="6" t="s">
        <v>30</v>
      </c>
    </row>
    <row r="48" customFormat="false" ht="23.85" hidden="false" customHeight="false" outlineLevel="0" collapsed="false">
      <c r="A48" s="2" t="n">
        <v>47</v>
      </c>
      <c r="B48" s="3" t="s">
        <v>232</v>
      </c>
      <c r="C48" s="2" t="s">
        <v>155</v>
      </c>
      <c r="D48" s="4" t="s">
        <v>19</v>
      </c>
      <c r="E48" s="4" t="s">
        <v>20</v>
      </c>
      <c r="F48" s="4" t="s">
        <v>73</v>
      </c>
      <c r="G48" s="5" t="n">
        <v>7.6</v>
      </c>
      <c r="H48" s="2" t="s">
        <v>233</v>
      </c>
      <c r="I48" s="4" t="s">
        <v>23</v>
      </c>
      <c r="J48" s="4" t="s">
        <v>234</v>
      </c>
      <c r="K48" s="4" t="s">
        <v>25</v>
      </c>
      <c r="L48" s="4" t="s">
        <v>214</v>
      </c>
      <c r="M48" s="2" t="s">
        <v>27</v>
      </c>
      <c r="N48" s="2"/>
      <c r="O48" s="2" t="s">
        <v>60</v>
      </c>
      <c r="P48" s="4" t="s">
        <v>235</v>
      </c>
      <c r="Q48" s="6" t="s">
        <v>30</v>
      </c>
    </row>
    <row r="49" customFormat="false" ht="23.85" hidden="false" customHeight="false" outlineLevel="0" collapsed="false">
      <c r="A49" s="2" t="n">
        <v>48</v>
      </c>
      <c r="B49" s="3" t="s">
        <v>236</v>
      </c>
      <c r="C49" s="2" t="s">
        <v>155</v>
      </c>
      <c r="D49" s="4" t="s">
        <v>19</v>
      </c>
      <c r="E49" s="4" t="s">
        <v>211</v>
      </c>
      <c r="F49" s="4" t="s">
        <v>237</v>
      </c>
      <c r="G49" s="5" t="n">
        <v>7.4</v>
      </c>
      <c r="H49" s="2" t="s">
        <v>238</v>
      </c>
      <c r="I49" s="4" t="s">
        <v>80</v>
      </c>
      <c r="J49" s="4" t="s">
        <v>75</v>
      </c>
      <c r="K49" s="4" t="s">
        <v>37</v>
      </c>
      <c r="L49" s="4" t="s">
        <v>227</v>
      </c>
      <c r="M49" s="2" t="s">
        <v>27</v>
      </c>
      <c r="N49" s="2"/>
      <c r="O49" s="2" t="s">
        <v>50</v>
      </c>
      <c r="P49" s="4" t="s">
        <v>239</v>
      </c>
      <c r="Q49" s="6" t="s">
        <v>30</v>
      </c>
    </row>
    <row r="50" customFormat="false" ht="15" hidden="false" customHeight="false" outlineLevel="0" collapsed="false">
      <c r="A50" s="2" t="n">
        <v>49</v>
      </c>
      <c r="B50" s="3" t="s">
        <v>240</v>
      </c>
      <c r="C50" s="2" t="s">
        <v>155</v>
      </c>
      <c r="D50" s="4" t="s">
        <v>19</v>
      </c>
      <c r="E50" s="4" t="s">
        <v>241</v>
      </c>
      <c r="F50" s="4" t="s">
        <v>64</v>
      </c>
      <c r="G50" s="5" t="n">
        <v>7.5</v>
      </c>
      <c r="H50" s="2" t="s">
        <v>242</v>
      </c>
      <c r="I50" s="4" t="s">
        <v>126</v>
      </c>
      <c r="J50" s="4" t="s">
        <v>24</v>
      </c>
      <c r="K50" s="4" t="s">
        <v>37</v>
      </c>
      <c r="L50" s="4" t="s">
        <v>227</v>
      </c>
      <c r="M50" s="2" t="s">
        <v>27</v>
      </c>
      <c r="N50" s="2"/>
      <c r="O50" s="2" t="s">
        <v>28</v>
      </c>
      <c r="P50" s="4" t="s">
        <v>243</v>
      </c>
      <c r="Q50" s="6" t="s">
        <v>30</v>
      </c>
    </row>
    <row r="51" customFormat="false" ht="15" hidden="false" customHeight="false" outlineLevel="0" collapsed="false">
      <c r="A51" s="2" t="n">
        <v>50</v>
      </c>
      <c r="B51" s="3" t="s">
        <v>244</v>
      </c>
      <c r="C51" s="2" t="s">
        <v>167</v>
      </c>
      <c r="D51" s="4" t="s">
        <v>19</v>
      </c>
      <c r="E51" s="4" t="s">
        <v>211</v>
      </c>
      <c r="F51" s="4" t="s">
        <v>245</v>
      </c>
      <c r="G51" s="5" t="n">
        <v>8.2</v>
      </c>
      <c r="H51" s="2" t="s">
        <v>246</v>
      </c>
      <c r="I51" s="4" t="s">
        <v>126</v>
      </c>
      <c r="J51" s="4" t="s">
        <v>24</v>
      </c>
      <c r="K51" s="4" t="s">
        <v>37</v>
      </c>
      <c r="L51" s="4" t="s">
        <v>227</v>
      </c>
      <c r="M51" s="2" t="s">
        <v>27</v>
      </c>
      <c r="N51" s="2"/>
      <c r="O51" s="2" t="s">
        <v>28</v>
      </c>
      <c r="P51" s="4" t="s">
        <v>247</v>
      </c>
      <c r="Q51" s="6" t="s">
        <v>30</v>
      </c>
    </row>
    <row r="52" customFormat="false" ht="15" hidden="false" customHeight="false" outlineLevel="0" collapsed="false">
      <c r="A52" s="2" t="n">
        <v>51</v>
      </c>
      <c r="B52" s="3" t="s">
        <v>248</v>
      </c>
      <c r="C52" s="2" t="s">
        <v>106</v>
      </c>
      <c r="D52" s="4" t="s">
        <v>19</v>
      </c>
      <c r="E52" s="4" t="s">
        <v>20</v>
      </c>
      <c r="F52" s="4" t="s">
        <v>249</v>
      </c>
      <c r="G52" s="5" t="n">
        <v>6.6</v>
      </c>
      <c r="H52" s="2" t="s">
        <v>250</v>
      </c>
      <c r="I52" s="4" t="s">
        <v>126</v>
      </c>
      <c r="J52" s="4" t="s">
        <v>24</v>
      </c>
      <c r="K52" s="4" t="s">
        <v>37</v>
      </c>
      <c r="L52" s="4" t="s">
        <v>227</v>
      </c>
      <c r="M52" s="2" t="s">
        <v>27</v>
      </c>
      <c r="N52" s="2"/>
      <c r="O52" s="2" t="s">
        <v>28</v>
      </c>
      <c r="P52" s="4" t="s">
        <v>251</v>
      </c>
      <c r="Q52" s="6" t="s">
        <v>30</v>
      </c>
    </row>
    <row r="53" customFormat="false" ht="15" hidden="false" customHeight="false" outlineLevel="0" collapsed="false">
      <c r="A53" s="2" t="n">
        <v>52</v>
      </c>
      <c r="B53" s="3" t="s">
        <v>252</v>
      </c>
      <c r="C53" s="2" t="s">
        <v>167</v>
      </c>
      <c r="D53" s="4" t="s">
        <v>19</v>
      </c>
      <c r="E53" s="4" t="s">
        <v>20</v>
      </c>
      <c r="F53" s="4" t="s">
        <v>160</v>
      </c>
      <c r="G53" s="5" t="n">
        <v>6.7</v>
      </c>
      <c r="H53" s="2" t="s">
        <v>253</v>
      </c>
      <c r="I53" s="4" t="s">
        <v>126</v>
      </c>
      <c r="J53" s="4" t="s">
        <v>24</v>
      </c>
      <c r="K53" s="4" t="s">
        <v>37</v>
      </c>
      <c r="L53" s="4" t="s">
        <v>227</v>
      </c>
      <c r="M53" s="2" t="s">
        <v>27</v>
      </c>
      <c r="N53" s="2"/>
      <c r="O53" s="2" t="s">
        <v>28</v>
      </c>
      <c r="P53" s="4" t="s">
        <v>254</v>
      </c>
      <c r="Q53" s="6" t="s">
        <v>30</v>
      </c>
    </row>
    <row r="54" customFormat="false" ht="15" hidden="false" customHeight="false" outlineLevel="0" collapsed="false">
      <c r="A54" s="2" t="n">
        <v>53</v>
      </c>
      <c r="B54" s="3" t="s">
        <v>255</v>
      </c>
      <c r="C54" s="2" t="s">
        <v>43</v>
      </c>
      <c r="D54" s="4" t="s">
        <v>19</v>
      </c>
      <c r="E54" s="4" t="s">
        <v>256</v>
      </c>
      <c r="F54" s="4" t="s">
        <v>64</v>
      </c>
      <c r="G54" s="5" t="n">
        <v>7.1</v>
      </c>
      <c r="H54" s="2" t="s">
        <v>257</v>
      </c>
      <c r="I54" s="4" t="s">
        <v>126</v>
      </c>
      <c r="J54" s="4" t="s">
        <v>24</v>
      </c>
      <c r="K54" s="4" t="s">
        <v>37</v>
      </c>
      <c r="L54" s="4" t="s">
        <v>227</v>
      </c>
      <c r="M54" s="2" t="s">
        <v>27</v>
      </c>
      <c r="N54" s="2"/>
      <c r="O54" s="2" t="s">
        <v>28</v>
      </c>
      <c r="P54" s="4" t="s">
        <v>258</v>
      </c>
      <c r="Q54" s="6" t="s">
        <v>30</v>
      </c>
    </row>
    <row r="55" customFormat="false" ht="15" hidden="false" customHeight="false" outlineLevel="0" collapsed="false">
      <c r="A55" s="2" t="n">
        <v>54</v>
      </c>
      <c r="B55" s="3" t="s">
        <v>259</v>
      </c>
      <c r="C55" s="2" t="s">
        <v>87</v>
      </c>
      <c r="D55" s="4" t="s">
        <v>19</v>
      </c>
      <c r="E55" s="4" t="s">
        <v>20</v>
      </c>
      <c r="F55" s="4" t="s">
        <v>260</v>
      </c>
      <c r="G55" s="5" t="n">
        <v>7.7</v>
      </c>
      <c r="H55" s="2" t="s">
        <v>261</v>
      </c>
      <c r="I55" s="4" t="s">
        <v>34</v>
      </c>
      <c r="J55" s="4" t="s">
        <v>65</v>
      </c>
      <c r="K55" s="4" t="s">
        <v>25</v>
      </c>
      <c r="L55" s="4" t="s">
        <v>262</v>
      </c>
      <c r="M55" s="2" t="s">
        <v>27</v>
      </c>
      <c r="N55" s="2"/>
      <c r="O55" s="2" t="s">
        <v>50</v>
      </c>
      <c r="P55" s="4" t="s">
        <v>263</v>
      </c>
      <c r="Q55" s="6" t="s">
        <v>30</v>
      </c>
    </row>
    <row r="56" customFormat="false" ht="15" hidden="false" customHeight="false" outlineLevel="0" collapsed="false">
      <c r="A56" s="2" t="n">
        <v>55</v>
      </c>
      <c r="B56" s="3" t="s">
        <v>264</v>
      </c>
      <c r="C56" s="2" t="s">
        <v>217</v>
      </c>
      <c r="D56" s="4" t="s">
        <v>19</v>
      </c>
      <c r="E56" s="4" t="s">
        <v>20</v>
      </c>
      <c r="F56" s="4" t="s">
        <v>156</v>
      </c>
      <c r="G56" s="5" t="n">
        <v>7</v>
      </c>
      <c r="H56" s="2" t="s">
        <v>265</v>
      </c>
      <c r="I56" s="4" t="s">
        <v>34</v>
      </c>
      <c r="J56" s="4" t="s">
        <v>96</v>
      </c>
      <c r="K56" s="4" t="s">
        <v>37</v>
      </c>
      <c r="L56" s="4" t="s">
        <v>262</v>
      </c>
      <c r="M56" s="2" t="s">
        <v>27</v>
      </c>
      <c r="N56" s="2"/>
      <c r="O56" s="2" t="s">
        <v>60</v>
      </c>
      <c r="P56" s="4" t="s">
        <v>266</v>
      </c>
      <c r="Q56" s="6" t="s">
        <v>30</v>
      </c>
    </row>
    <row r="57" customFormat="false" ht="15" hidden="false" customHeight="false" outlineLevel="0" collapsed="false">
      <c r="A57" s="2" t="n">
        <v>56</v>
      </c>
      <c r="B57" s="3" t="s">
        <v>267</v>
      </c>
      <c r="C57" s="2" t="s">
        <v>268</v>
      </c>
      <c r="D57" s="4" t="s">
        <v>19</v>
      </c>
      <c r="E57" s="4" t="s">
        <v>20</v>
      </c>
      <c r="F57" s="4" t="s">
        <v>260</v>
      </c>
      <c r="G57" s="5" t="n">
        <v>7.2</v>
      </c>
      <c r="H57" s="2" t="s">
        <v>269</v>
      </c>
      <c r="I57" s="4" t="s">
        <v>23</v>
      </c>
      <c r="J57" s="4" t="s">
        <v>24</v>
      </c>
      <c r="K57" s="4" t="s">
        <v>37</v>
      </c>
      <c r="L57" s="4" t="s">
        <v>262</v>
      </c>
      <c r="M57" s="2" t="s">
        <v>27</v>
      </c>
      <c r="N57" s="2"/>
      <c r="O57" s="2" t="s">
        <v>28</v>
      </c>
      <c r="P57" s="4"/>
      <c r="Q57" s="6" t="s">
        <v>30</v>
      </c>
    </row>
    <row r="58" customFormat="false" ht="15" hidden="false" customHeight="false" outlineLevel="0" collapsed="false">
      <c r="A58" s="2" t="n">
        <v>57</v>
      </c>
      <c r="B58" s="3" t="s">
        <v>270</v>
      </c>
      <c r="C58" s="2" t="s">
        <v>106</v>
      </c>
      <c r="D58" s="4" t="s">
        <v>19</v>
      </c>
      <c r="E58" s="4" t="s">
        <v>20</v>
      </c>
      <c r="F58" s="4" t="s">
        <v>44</v>
      </c>
      <c r="G58" s="5" t="n">
        <v>8</v>
      </c>
      <c r="H58" s="2" t="s">
        <v>70</v>
      </c>
      <c r="I58" s="4" t="s">
        <v>34</v>
      </c>
      <c r="J58" s="4" t="s">
        <v>58</v>
      </c>
      <c r="K58" s="4" t="s">
        <v>37</v>
      </c>
      <c r="L58" s="4" t="s">
        <v>262</v>
      </c>
      <c r="M58" s="2" t="s">
        <v>36</v>
      </c>
      <c r="N58" s="2"/>
      <c r="O58" s="2" t="s">
        <v>37</v>
      </c>
      <c r="P58" s="4" t="s">
        <v>271</v>
      </c>
      <c r="Q58" s="6" t="s">
        <v>30</v>
      </c>
    </row>
    <row r="59" customFormat="false" ht="15" hidden="false" customHeight="false" outlineLevel="0" collapsed="false">
      <c r="A59" s="2" t="n">
        <v>58</v>
      </c>
      <c r="B59" s="3" t="s">
        <v>272</v>
      </c>
      <c r="C59" s="2" t="s">
        <v>130</v>
      </c>
      <c r="D59" s="4" t="s">
        <v>19</v>
      </c>
      <c r="E59" s="4" t="s">
        <v>20</v>
      </c>
      <c r="F59" s="4" t="s">
        <v>124</v>
      </c>
      <c r="G59" s="5" t="n">
        <v>6.5</v>
      </c>
      <c r="H59" s="2" t="s">
        <v>273</v>
      </c>
      <c r="I59" s="4" t="s">
        <v>23</v>
      </c>
      <c r="J59" s="4" t="s">
        <v>24</v>
      </c>
      <c r="K59" s="4" t="s">
        <v>37</v>
      </c>
      <c r="L59" s="4" t="s">
        <v>262</v>
      </c>
      <c r="M59" s="2" t="s">
        <v>27</v>
      </c>
      <c r="N59" s="2"/>
      <c r="O59" s="2" t="s">
        <v>28</v>
      </c>
      <c r="P59" s="4" t="s">
        <v>274</v>
      </c>
      <c r="Q59" s="6" t="s">
        <v>30</v>
      </c>
    </row>
    <row r="60" customFormat="false" ht="23.85" hidden="false" customHeight="false" outlineLevel="0" collapsed="false">
      <c r="A60" s="2" t="n">
        <v>59</v>
      </c>
      <c r="B60" s="3" t="s">
        <v>275</v>
      </c>
      <c r="C60" s="2" t="s">
        <v>155</v>
      </c>
      <c r="D60" s="4" t="s">
        <v>19</v>
      </c>
      <c r="E60" s="4" t="s">
        <v>20</v>
      </c>
      <c r="F60" s="4" t="s">
        <v>276</v>
      </c>
      <c r="G60" s="5" t="n">
        <v>7.3</v>
      </c>
      <c r="H60" s="2" t="s">
        <v>277</v>
      </c>
      <c r="I60" s="4" t="s">
        <v>23</v>
      </c>
      <c r="J60" s="4" t="s">
        <v>35</v>
      </c>
      <c r="K60" s="4" t="s">
        <v>59</v>
      </c>
      <c r="L60" s="4" t="s">
        <v>262</v>
      </c>
      <c r="M60" s="2" t="s">
        <v>27</v>
      </c>
      <c r="N60" s="2"/>
      <c r="O60" s="2" t="s">
        <v>28</v>
      </c>
      <c r="P60" s="4" t="s">
        <v>278</v>
      </c>
      <c r="Q60" s="6" t="s">
        <v>30</v>
      </c>
    </row>
    <row r="61" customFormat="false" ht="23.85" hidden="false" customHeight="false" outlineLevel="0" collapsed="false">
      <c r="A61" s="2" t="n">
        <v>60</v>
      </c>
      <c r="B61" s="3" t="s">
        <v>279</v>
      </c>
      <c r="C61" s="2" t="s">
        <v>139</v>
      </c>
      <c r="D61" s="4" t="s">
        <v>19</v>
      </c>
      <c r="E61" s="4" t="s">
        <v>20</v>
      </c>
      <c r="F61" s="4" t="s">
        <v>280</v>
      </c>
      <c r="G61" s="5" t="n">
        <v>7</v>
      </c>
      <c r="H61" s="2" t="s">
        <v>281</v>
      </c>
      <c r="I61" s="4" t="s">
        <v>34</v>
      </c>
      <c r="J61" s="4" t="s">
        <v>282</v>
      </c>
      <c r="K61" s="4" t="s">
        <v>283</v>
      </c>
      <c r="L61" s="4" t="s">
        <v>262</v>
      </c>
      <c r="M61" s="2" t="s">
        <v>27</v>
      </c>
      <c r="N61" s="2"/>
      <c r="O61" s="2" t="s">
        <v>60</v>
      </c>
      <c r="P61" s="4"/>
      <c r="Q61" s="6" t="s">
        <v>30</v>
      </c>
    </row>
    <row r="62" customFormat="false" ht="15" hidden="false" customHeight="false" outlineLevel="0" collapsed="false">
      <c r="A62" s="2" t="n">
        <v>61</v>
      </c>
      <c r="B62" s="3" t="s">
        <v>284</v>
      </c>
      <c r="C62" s="2" t="s">
        <v>285</v>
      </c>
      <c r="D62" s="4" t="s">
        <v>19</v>
      </c>
      <c r="E62" s="4" t="s">
        <v>20</v>
      </c>
      <c r="F62" s="4" t="s">
        <v>286</v>
      </c>
      <c r="G62" s="5" t="n">
        <v>8.3</v>
      </c>
      <c r="H62" s="2" t="s">
        <v>287</v>
      </c>
      <c r="I62" s="4" t="s">
        <v>126</v>
      </c>
      <c r="J62" s="4" t="s">
        <v>24</v>
      </c>
      <c r="K62" s="4" t="s">
        <v>25</v>
      </c>
      <c r="L62" s="4" t="s">
        <v>262</v>
      </c>
      <c r="M62" s="2" t="s">
        <v>27</v>
      </c>
      <c r="N62" s="2"/>
      <c r="O62" s="2" t="s">
        <v>28</v>
      </c>
      <c r="P62" s="4" t="s">
        <v>288</v>
      </c>
      <c r="Q62" s="6" t="s">
        <v>30</v>
      </c>
    </row>
    <row r="63" customFormat="false" ht="15" hidden="false" customHeight="false" outlineLevel="0" collapsed="false">
      <c r="A63" s="2" t="n">
        <v>62</v>
      </c>
      <c r="B63" s="3" t="s">
        <v>289</v>
      </c>
      <c r="C63" s="2" t="s">
        <v>290</v>
      </c>
      <c r="D63" s="4" t="s">
        <v>19</v>
      </c>
      <c r="E63" s="4" t="s">
        <v>20</v>
      </c>
      <c r="F63" s="4" t="s">
        <v>160</v>
      </c>
      <c r="G63" s="5" t="n">
        <v>7.3</v>
      </c>
      <c r="H63" s="2" t="s">
        <v>291</v>
      </c>
      <c r="I63" s="4" t="s">
        <v>23</v>
      </c>
      <c r="J63" s="4" t="s">
        <v>24</v>
      </c>
      <c r="K63" s="4" t="s">
        <v>25</v>
      </c>
      <c r="L63" s="4" t="s">
        <v>292</v>
      </c>
      <c r="M63" s="2" t="s">
        <v>27</v>
      </c>
      <c r="N63" s="2"/>
      <c r="O63" s="2" t="s">
        <v>28</v>
      </c>
      <c r="P63" s="4" t="s">
        <v>293</v>
      </c>
      <c r="Q63" s="6" t="s">
        <v>30</v>
      </c>
    </row>
    <row r="64" customFormat="false" ht="15" hidden="false" customHeight="false" outlineLevel="0" collapsed="false">
      <c r="A64" s="2" t="n">
        <v>63</v>
      </c>
      <c r="B64" s="3" t="s">
        <v>294</v>
      </c>
      <c r="C64" s="2" t="s">
        <v>43</v>
      </c>
      <c r="D64" s="4" t="s">
        <v>19</v>
      </c>
      <c r="E64" s="4" t="s">
        <v>211</v>
      </c>
      <c r="F64" s="4" t="s">
        <v>64</v>
      </c>
      <c r="G64" s="5" t="n">
        <v>7.2</v>
      </c>
      <c r="H64" s="2" t="s">
        <v>295</v>
      </c>
      <c r="I64" s="4" t="s">
        <v>126</v>
      </c>
      <c r="J64" s="4" t="s">
        <v>24</v>
      </c>
      <c r="K64" s="4" t="s">
        <v>37</v>
      </c>
      <c r="L64" s="4" t="s">
        <v>292</v>
      </c>
      <c r="M64" s="2" t="s">
        <v>27</v>
      </c>
      <c r="N64" s="2"/>
      <c r="O64" s="2" t="s">
        <v>28</v>
      </c>
      <c r="P64" s="4" t="s">
        <v>296</v>
      </c>
      <c r="Q64" s="6" t="s">
        <v>30</v>
      </c>
    </row>
    <row r="65" customFormat="false" ht="15" hidden="false" customHeight="false" outlineLevel="0" collapsed="false">
      <c r="A65" s="2" t="n">
        <v>64</v>
      </c>
      <c r="B65" s="3" t="s">
        <v>297</v>
      </c>
      <c r="C65" s="2" t="s">
        <v>63</v>
      </c>
      <c r="D65" s="4" t="s">
        <v>19</v>
      </c>
      <c r="E65" s="4" t="s">
        <v>298</v>
      </c>
      <c r="F65" s="4" t="s">
        <v>212</v>
      </c>
      <c r="G65" s="5" t="n">
        <v>7.5</v>
      </c>
      <c r="H65" s="2" t="s">
        <v>299</v>
      </c>
      <c r="I65" s="4" t="s">
        <v>126</v>
      </c>
      <c r="J65" s="4" t="s">
        <v>24</v>
      </c>
      <c r="K65" s="4" t="s">
        <v>37</v>
      </c>
      <c r="L65" s="4" t="s">
        <v>292</v>
      </c>
      <c r="M65" s="2" t="s">
        <v>27</v>
      </c>
      <c r="N65" s="2"/>
      <c r="O65" s="2" t="s">
        <v>28</v>
      </c>
      <c r="P65" s="4" t="s">
        <v>300</v>
      </c>
      <c r="Q65" s="6" t="s">
        <v>30</v>
      </c>
    </row>
    <row r="66" customFormat="false" ht="15" hidden="false" customHeight="false" outlineLevel="0" collapsed="false">
      <c r="A66" s="2" t="n">
        <v>65</v>
      </c>
      <c r="B66" s="3" t="s">
        <v>301</v>
      </c>
      <c r="C66" s="2" t="s">
        <v>302</v>
      </c>
      <c r="D66" s="4" t="s">
        <v>19</v>
      </c>
      <c r="E66" s="4" t="s">
        <v>20</v>
      </c>
      <c r="F66" s="4" t="s">
        <v>303</v>
      </c>
      <c r="G66" s="5" t="n">
        <v>6.8</v>
      </c>
      <c r="H66" s="2" t="s">
        <v>304</v>
      </c>
      <c r="I66" s="4" t="s">
        <v>126</v>
      </c>
      <c r="J66" s="4" t="s">
        <v>24</v>
      </c>
      <c r="K66" s="4" t="s">
        <v>37</v>
      </c>
      <c r="L66" s="4" t="s">
        <v>292</v>
      </c>
      <c r="M66" s="2" t="s">
        <v>27</v>
      </c>
      <c r="N66" s="2"/>
      <c r="O66" s="2" t="s">
        <v>28</v>
      </c>
      <c r="P66" s="4"/>
      <c r="Q66" s="6" t="s">
        <v>30</v>
      </c>
    </row>
    <row r="67" customFormat="false" ht="15" hidden="false" customHeight="false" outlineLevel="0" collapsed="false">
      <c r="A67" s="2" t="n">
        <v>66</v>
      </c>
      <c r="B67" s="3" t="s">
        <v>305</v>
      </c>
      <c r="C67" s="2" t="s">
        <v>306</v>
      </c>
      <c r="D67" s="4" t="s">
        <v>19</v>
      </c>
      <c r="E67" s="4" t="s">
        <v>256</v>
      </c>
      <c r="F67" s="4" t="s">
        <v>160</v>
      </c>
      <c r="G67" s="5" t="n">
        <v>7.6</v>
      </c>
      <c r="H67" s="2" t="s">
        <v>199</v>
      </c>
      <c r="I67" s="4" t="s">
        <v>126</v>
      </c>
      <c r="J67" s="4" t="s">
        <v>24</v>
      </c>
      <c r="K67" s="4" t="s">
        <v>37</v>
      </c>
      <c r="L67" s="4" t="s">
        <v>292</v>
      </c>
      <c r="M67" s="2" t="s">
        <v>27</v>
      </c>
      <c r="N67" s="2"/>
      <c r="O67" s="2" t="s">
        <v>28</v>
      </c>
      <c r="P67" s="4" t="s">
        <v>307</v>
      </c>
      <c r="Q67" s="6" t="s">
        <v>30</v>
      </c>
    </row>
    <row r="68" customFormat="false" ht="23.85" hidden="false" customHeight="false" outlineLevel="0" collapsed="false">
      <c r="A68" s="2" t="n">
        <v>67</v>
      </c>
      <c r="B68" s="3" t="s">
        <v>308</v>
      </c>
      <c r="C68" s="2" t="s">
        <v>43</v>
      </c>
      <c r="D68" s="4" t="s">
        <v>19</v>
      </c>
      <c r="E68" s="4" t="s">
        <v>20</v>
      </c>
      <c r="F68" s="4" t="s">
        <v>260</v>
      </c>
      <c r="G68" s="5" t="n">
        <v>7.4</v>
      </c>
      <c r="H68" s="2" t="s">
        <v>309</v>
      </c>
      <c r="I68" s="4" t="s">
        <v>23</v>
      </c>
      <c r="J68" s="4" t="s">
        <v>65</v>
      </c>
      <c r="K68" s="4" t="s">
        <v>37</v>
      </c>
      <c r="L68" s="4" t="s">
        <v>310</v>
      </c>
      <c r="M68" s="2" t="s">
        <v>27</v>
      </c>
      <c r="N68" s="2"/>
      <c r="O68" s="2" t="s">
        <v>60</v>
      </c>
      <c r="P68" s="4" t="s">
        <v>311</v>
      </c>
      <c r="Q68" s="6" t="s">
        <v>30</v>
      </c>
    </row>
    <row r="69" customFormat="false" ht="23.85" hidden="false" customHeight="false" outlineLevel="0" collapsed="false">
      <c r="A69" s="2" t="n">
        <v>68</v>
      </c>
      <c r="B69" s="3" t="s">
        <v>312</v>
      </c>
      <c r="C69" s="2" t="s">
        <v>217</v>
      </c>
      <c r="D69" s="4" t="s">
        <v>19</v>
      </c>
      <c r="E69" s="4" t="s">
        <v>20</v>
      </c>
      <c r="F69" s="4" t="s">
        <v>40</v>
      </c>
      <c r="G69" s="5" t="n">
        <v>7.4</v>
      </c>
      <c r="H69" s="2" t="s">
        <v>313</v>
      </c>
      <c r="I69" s="4" t="s">
        <v>23</v>
      </c>
      <c r="J69" s="4" t="s">
        <v>24</v>
      </c>
      <c r="K69" s="4" t="s">
        <v>37</v>
      </c>
      <c r="L69" s="4" t="s">
        <v>310</v>
      </c>
      <c r="M69" s="2" t="s">
        <v>27</v>
      </c>
      <c r="N69" s="2"/>
      <c r="O69" s="2" t="s">
        <v>28</v>
      </c>
      <c r="P69" s="4"/>
      <c r="Q69" s="6" t="s">
        <v>30</v>
      </c>
    </row>
    <row r="70" customFormat="false" ht="23.85" hidden="false" customHeight="false" outlineLevel="0" collapsed="false">
      <c r="A70" s="2" t="n">
        <v>69</v>
      </c>
      <c r="B70" s="3" t="s">
        <v>314</v>
      </c>
      <c r="C70" s="2" t="s">
        <v>268</v>
      </c>
      <c r="D70" s="4" t="s">
        <v>19</v>
      </c>
      <c r="E70" s="4" t="s">
        <v>211</v>
      </c>
      <c r="F70" s="4" t="s">
        <v>260</v>
      </c>
      <c r="G70" s="5" t="n">
        <v>7.1</v>
      </c>
      <c r="H70" s="2" t="s">
        <v>315</v>
      </c>
      <c r="I70" s="4" t="s">
        <v>126</v>
      </c>
      <c r="J70" s="4" t="s">
        <v>24</v>
      </c>
      <c r="K70" s="4" t="s">
        <v>37</v>
      </c>
      <c r="L70" s="4" t="s">
        <v>310</v>
      </c>
      <c r="M70" s="2" t="s">
        <v>27</v>
      </c>
      <c r="N70" s="2"/>
      <c r="O70" s="2" t="s">
        <v>28</v>
      </c>
      <c r="P70" s="4" t="s">
        <v>316</v>
      </c>
      <c r="Q70" s="6" t="s">
        <v>30</v>
      </c>
    </row>
    <row r="71" customFormat="false" ht="23.85" hidden="false" customHeight="false" outlineLevel="0" collapsed="false">
      <c r="A71" s="2" t="n">
        <v>70</v>
      </c>
      <c r="B71" s="3" t="s">
        <v>317</v>
      </c>
      <c r="C71" s="2" t="s">
        <v>167</v>
      </c>
      <c r="D71" s="4" t="s">
        <v>19</v>
      </c>
      <c r="E71" s="4" t="s">
        <v>20</v>
      </c>
      <c r="F71" s="4" t="s">
        <v>318</v>
      </c>
      <c r="G71" s="5" t="n">
        <v>6.9</v>
      </c>
      <c r="H71" s="2" t="s">
        <v>319</v>
      </c>
      <c r="I71" s="4" t="s">
        <v>126</v>
      </c>
      <c r="J71" s="4" t="s">
        <v>24</v>
      </c>
      <c r="K71" s="4" t="s">
        <v>37</v>
      </c>
      <c r="L71" s="4" t="s">
        <v>310</v>
      </c>
      <c r="M71" s="2" t="s">
        <v>27</v>
      </c>
      <c r="N71" s="2"/>
      <c r="O71" s="2" t="s">
        <v>28</v>
      </c>
      <c r="P71" s="4" t="s">
        <v>320</v>
      </c>
      <c r="Q71" s="6" t="s">
        <v>30</v>
      </c>
    </row>
    <row r="72" customFormat="false" ht="23.85" hidden="false" customHeight="false" outlineLevel="0" collapsed="false">
      <c r="A72" s="2" t="n">
        <v>71</v>
      </c>
      <c r="B72" s="3" t="s">
        <v>321</v>
      </c>
      <c r="C72" s="2" t="s">
        <v>139</v>
      </c>
      <c r="D72" s="4" t="s">
        <v>19</v>
      </c>
      <c r="E72" s="4" t="s">
        <v>20</v>
      </c>
      <c r="F72" s="4" t="s">
        <v>49</v>
      </c>
      <c r="G72" s="5" t="n">
        <v>6.3</v>
      </c>
      <c r="H72" s="2" t="s">
        <v>322</v>
      </c>
      <c r="I72" s="4" t="s">
        <v>74</v>
      </c>
      <c r="J72" s="4" t="s">
        <v>75</v>
      </c>
      <c r="K72" s="4" t="s">
        <v>37</v>
      </c>
      <c r="L72" s="4" t="s">
        <v>310</v>
      </c>
      <c r="M72" s="2" t="s">
        <v>27</v>
      </c>
      <c r="N72" s="2"/>
      <c r="O72" s="2" t="s">
        <v>28</v>
      </c>
      <c r="P72" s="4" t="s">
        <v>323</v>
      </c>
      <c r="Q72" s="6" t="s">
        <v>30</v>
      </c>
    </row>
    <row r="73" customFormat="false" ht="23.85" hidden="false" customHeight="false" outlineLevel="0" collapsed="false">
      <c r="A73" s="2" t="n">
        <v>72</v>
      </c>
      <c r="B73" s="3" t="s">
        <v>324</v>
      </c>
      <c r="C73" s="2" t="s">
        <v>221</v>
      </c>
      <c r="D73" s="4" t="s">
        <v>19</v>
      </c>
      <c r="E73" s="4" t="s">
        <v>20</v>
      </c>
      <c r="F73" s="4" t="s">
        <v>156</v>
      </c>
      <c r="G73" s="5" t="n">
        <v>6.5</v>
      </c>
      <c r="H73" s="2" t="s">
        <v>325</v>
      </c>
      <c r="I73" s="4" t="s">
        <v>126</v>
      </c>
      <c r="J73" s="4" t="s">
        <v>24</v>
      </c>
      <c r="K73" s="4" t="s">
        <v>37</v>
      </c>
      <c r="L73" s="4" t="s">
        <v>310</v>
      </c>
      <c r="M73" s="2" t="s">
        <v>27</v>
      </c>
      <c r="N73" s="2"/>
      <c r="O73" s="2" t="s">
        <v>28</v>
      </c>
      <c r="P73" s="4"/>
      <c r="Q73" s="6" t="s">
        <v>30</v>
      </c>
    </row>
    <row r="74" customFormat="false" ht="23.85" hidden="false" customHeight="false" outlineLevel="0" collapsed="false">
      <c r="A74" s="2" t="n">
        <v>73</v>
      </c>
      <c r="B74" s="3" t="s">
        <v>326</v>
      </c>
      <c r="C74" s="2" t="s">
        <v>302</v>
      </c>
      <c r="D74" s="4" t="s">
        <v>19</v>
      </c>
      <c r="E74" s="4" t="s">
        <v>20</v>
      </c>
      <c r="F74" s="4" t="s">
        <v>160</v>
      </c>
      <c r="G74" s="5" t="n">
        <v>5.4</v>
      </c>
      <c r="H74" s="2" t="s">
        <v>327</v>
      </c>
      <c r="I74" s="4" t="s">
        <v>126</v>
      </c>
      <c r="J74" s="4" t="s">
        <v>24</v>
      </c>
      <c r="K74" s="4" t="s">
        <v>37</v>
      </c>
      <c r="L74" s="4" t="s">
        <v>310</v>
      </c>
      <c r="M74" s="2" t="s">
        <v>27</v>
      </c>
      <c r="N74" s="2"/>
      <c r="O74" s="2" t="s">
        <v>28</v>
      </c>
      <c r="P74" s="4" t="s">
        <v>328</v>
      </c>
      <c r="Q74" s="6" t="s">
        <v>30</v>
      </c>
    </row>
    <row r="75" customFormat="false" ht="23.85" hidden="false" customHeight="false" outlineLevel="0" collapsed="false">
      <c r="A75" s="2" t="n">
        <v>74</v>
      </c>
      <c r="B75" s="3" t="s">
        <v>329</v>
      </c>
      <c r="C75" s="2" t="s">
        <v>155</v>
      </c>
      <c r="D75" s="4" t="s">
        <v>19</v>
      </c>
      <c r="E75" s="4" t="s">
        <v>20</v>
      </c>
      <c r="F75" s="4" t="s">
        <v>330</v>
      </c>
      <c r="G75" s="5" t="n">
        <v>6.3</v>
      </c>
      <c r="H75" s="2" t="s">
        <v>331</v>
      </c>
      <c r="I75" s="4" t="s">
        <v>126</v>
      </c>
      <c r="J75" s="4" t="s">
        <v>24</v>
      </c>
      <c r="K75" s="4" t="s">
        <v>37</v>
      </c>
      <c r="L75" s="4" t="s">
        <v>310</v>
      </c>
      <c r="M75" s="2" t="s">
        <v>27</v>
      </c>
      <c r="N75" s="2"/>
      <c r="O75" s="2" t="s">
        <v>28</v>
      </c>
      <c r="P75" s="4" t="s">
        <v>332</v>
      </c>
      <c r="Q75" s="6" t="s">
        <v>30</v>
      </c>
    </row>
    <row r="76" customFormat="false" ht="23.85" hidden="false" customHeight="false" outlineLevel="0" collapsed="false">
      <c r="A76" s="2" t="n">
        <v>75</v>
      </c>
      <c r="B76" s="3" t="s">
        <v>333</v>
      </c>
      <c r="C76" s="2" t="s">
        <v>334</v>
      </c>
      <c r="D76" s="4" t="s">
        <v>19</v>
      </c>
      <c r="E76" s="4" t="s">
        <v>20</v>
      </c>
      <c r="F76" s="4" t="s">
        <v>335</v>
      </c>
      <c r="G76" s="5" t="n">
        <v>6.8</v>
      </c>
      <c r="H76" s="2" t="s">
        <v>336</v>
      </c>
      <c r="I76" s="4" t="s">
        <v>23</v>
      </c>
      <c r="J76" s="4" t="s">
        <v>65</v>
      </c>
      <c r="K76" s="4" t="s">
        <v>37</v>
      </c>
      <c r="L76" s="4" t="s">
        <v>310</v>
      </c>
      <c r="M76" s="2" t="s">
        <v>27</v>
      </c>
      <c r="N76" s="2"/>
      <c r="O76" s="2" t="s">
        <v>28</v>
      </c>
      <c r="P76" s="4" t="s">
        <v>337</v>
      </c>
      <c r="Q76" s="6" t="s">
        <v>30</v>
      </c>
    </row>
    <row r="77" customFormat="false" ht="35.05" hidden="false" customHeight="false" outlineLevel="0" collapsed="false">
      <c r="A77" s="2" t="n">
        <v>76</v>
      </c>
      <c r="B77" s="3" t="s">
        <v>338</v>
      </c>
      <c r="C77" s="2" t="s">
        <v>339</v>
      </c>
      <c r="D77" s="4" t="s">
        <v>19</v>
      </c>
      <c r="E77" s="4" t="s">
        <v>340</v>
      </c>
      <c r="F77" s="4" t="s">
        <v>341</v>
      </c>
      <c r="G77" s="5" t="n">
        <v>5.8</v>
      </c>
      <c r="H77" s="2" t="s">
        <v>342</v>
      </c>
      <c r="I77" s="4" t="s">
        <v>80</v>
      </c>
      <c r="J77" s="4" t="s">
        <v>162</v>
      </c>
      <c r="K77" s="4" t="s">
        <v>37</v>
      </c>
      <c r="L77" s="4" t="s">
        <v>343</v>
      </c>
      <c r="M77" s="2" t="s">
        <v>27</v>
      </c>
      <c r="N77" s="2"/>
      <c r="O77" s="2" t="s">
        <v>60</v>
      </c>
      <c r="P77" s="4" t="s">
        <v>344</v>
      </c>
      <c r="Q77" s="6" t="s">
        <v>30</v>
      </c>
    </row>
    <row r="78" customFormat="false" ht="15" hidden="false" customHeight="false" outlineLevel="0" collapsed="false">
      <c r="A78" s="2" t="n">
        <v>77</v>
      </c>
      <c r="B78" s="3" t="s">
        <v>345</v>
      </c>
      <c r="C78" s="2" t="s">
        <v>346</v>
      </c>
      <c r="D78" s="4" t="s">
        <v>347</v>
      </c>
      <c r="E78" s="4" t="s">
        <v>20</v>
      </c>
      <c r="F78" s="4" t="s">
        <v>348</v>
      </c>
      <c r="G78" s="5" t="n">
        <v>7.4</v>
      </c>
      <c r="H78" s="2" t="s">
        <v>349</v>
      </c>
      <c r="I78" s="4" t="s">
        <v>80</v>
      </c>
      <c r="J78" s="4" t="s">
        <v>75</v>
      </c>
      <c r="K78" s="4" t="s">
        <v>37</v>
      </c>
      <c r="L78" s="4" t="s">
        <v>350</v>
      </c>
      <c r="M78" s="2" t="s">
        <v>27</v>
      </c>
      <c r="N78" s="2"/>
      <c r="O78" s="2" t="s">
        <v>50</v>
      </c>
      <c r="P78" s="4" t="s">
        <v>351</v>
      </c>
      <c r="Q78" s="6" t="s">
        <v>30</v>
      </c>
    </row>
    <row r="79" customFormat="false" ht="15" hidden="false" customHeight="false" outlineLevel="0" collapsed="false">
      <c r="A79" s="2" t="n">
        <v>78</v>
      </c>
      <c r="B79" s="3" t="s">
        <v>352</v>
      </c>
      <c r="C79" s="2" t="s">
        <v>353</v>
      </c>
      <c r="D79" s="4" t="s">
        <v>347</v>
      </c>
      <c r="E79" s="4" t="s">
        <v>20</v>
      </c>
      <c r="F79" s="4" t="s">
        <v>354</v>
      </c>
      <c r="G79" s="5" t="n">
        <v>8</v>
      </c>
      <c r="H79" s="2" t="s">
        <v>233</v>
      </c>
      <c r="I79" s="4" t="s">
        <v>80</v>
      </c>
      <c r="J79" s="4" t="s">
        <v>65</v>
      </c>
      <c r="K79" s="4" t="s">
        <v>37</v>
      </c>
      <c r="L79" s="4" t="s">
        <v>350</v>
      </c>
      <c r="M79" s="2" t="s">
        <v>27</v>
      </c>
      <c r="N79" s="2"/>
      <c r="O79" s="2" t="s">
        <v>50</v>
      </c>
      <c r="P79" s="4" t="s">
        <v>355</v>
      </c>
      <c r="Q79" s="6" t="s">
        <v>30</v>
      </c>
    </row>
    <row r="80" customFormat="false" ht="15" hidden="false" customHeight="false" outlineLevel="0" collapsed="false">
      <c r="A80" s="2" t="n">
        <v>79</v>
      </c>
      <c r="B80" s="3" t="s">
        <v>356</v>
      </c>
      <c r="C80" s="2" t="s">
        <v>357</v>
      </c>
      <c r="D80" s="4" t="s">
        <v>347</v>
      </c>
      <c r="E80" s="4" t="s">
        <v>211</v>
      </c>
      <c r="F80" s="4" t="s">
        <v>358</v>
      </c>
      <c r="G80" s="5" t="n">
        <v>8.2</v>
      </c>
      <c r="H80" s="2" t="s">
        <v>359</v>
      </c>
      <c r="I80" s="4" t="s">
        <v>80</v>
      </c>
      <c r="J80" s="4" t="s">
        <v>75</v>
      </c>
      <c r="K80" s="4" t="s">
        <v>37</v>
      </c>
      <c r="L80" s="4" t="s">
        <v>350</v>
      </c>
      <c r="M80" s="2" t="s">
        <v>27</v>
      </c>
      <c r="N80" s="2"/>
      <c r="O80" s="2" t="s">
        <v>50</v>
      </c>
      <c r="P80" s="4" t="s">
        <v>360</v>
      </c>
      <c r="Q80" s="6" t="s">
        <v>75</v>
      </c>
    </row>
    <row r="81" customFormat="false" ht="23.85" hidden="false" customHeight="false" outlineLevel="0" collapsed="false">
      <c r="A81" s="2" t="n">
        <v>80</v>
      </c>
      <c r="B81" s="3" t="s">
        <v>361</v>
      </c>
      <c r="C81" s="2" t="s">
        <v>362</v>
      </c>
      <c r="D81" s="4" t="s">
        <v>347</v>
      </c>
      <c r="E81" s="4" t="s">
        <v>20</v>
      </c>
      <c r="F81" s="4" t="s">
        <v>363</v>
      </c>
      <c r="G81" s="5" t="n">
        <v>8.5</v>
      </c>
      <c r="H81" s="2" t="s">
        <v>70</v>
      </c>
      <c r="I81" s="4" t="s">
        <v>80</v>
      </c>
      <c r="J81" s="4" t="s">
        <v>65</v>
      </c>
      <c r="K81" s="4" t="s">
        <v>37</v>
      </c>
      <c r="L81" s="4" t="s">
        <v>350</v>
      </c>
      <c r="M81" s="2" t="s">
        <v>27</v>
      </c>
      <c r="N81" s="2"/>
      <c r="O81" s="2" t="s">
        <v>60</v>
      </c>
      <c r="P81" s="4" t="s">
        <v>364</v>
      </c>
      <c r="Q81" s="6" t="s">
        <v>30</v>
      </c>
    </row>
    <row r="82" customFormat="false" ht="15" hidden="false" customHeight="false" outlineLevel="0" collapsed="false">
      <c r="A82" s="2" t="n">
        <v>81</v>
      </c>
      <c r="B82" s="3" t="s">
        <v>365</v>
      </c>
      <c r="C82" s="2" t="s">
        <v>366</v>
      </c>
      <c r="D82" s="4" t="s">
        <v>347</v>
      </c>
      <c r="E82" s="4" t="s">
        <v>20</v>
      </c>
      <c r="F82" s="4" t="s">
        <v>367</v>
      </c>
      <c r="G82" s="5" t="n">
        <v>8.7</v>
      </c>
      <c r="H82" s="2" t="s">
        <v>368</v>
      </c>
      <c r="I82" s="4" t="s">
        <v>23</v>
      </c>
      <c r="J82" s="4" t="s">
        <v>75</v>
      </c>
      <c r="K82" s="4" t="s">
        <v>37</v>
      </c>
      <c r="L82" s="4" t="s">
        <v>350</v>
      </c>
      <c r="M82" s="2" t="s">
        <v>27</v>
      </c>
      <c r="N82" s="2"/>
      <c r="O82" s="2" t="s">
        <v>60</v>
      </c>
      <c r="P82" s="4" t="s">
        <v>369</v>
      </c>
      <c r="Q82" s="6" t="s">
        <v>30</v>
      </c>
    </row>
    <row r="83" customFormat="false" ht="15" hidden="false" customHeight="false" outlineLevel="0" collapsed="false">
      <c r="A83" s="2" t="n">
        <v>82</v>
      </c>
      <c r="B83" s="3" t="s">
        <v>370</v>
      </c>
      <c r="C83" s="2" t="s">
        <v>371</v>
      </c>
      <c r="D83" s="4" t="s">
        <v>347</v>
      </c>
      <c r="E83" s="4" t="s">
        <v>20</v>
      </c>
      <c r="F83" s="4" t="s">
        <v>69</v>
      </c>
      <c r="G83" s="5" t="n">
        <v>8.5</v>
      </c>
      <c r="H83" s="2" t="s">
        <v>372</v>
      </c>
      <c r="I83" s="4" t="s">
        <v>80</v>
      </c>
      <c r="J83" s="4" t="s">
        <v>75</v>
      </c>
      <c r="K83" s="4" t="s">
        <v>37</v>
      </c>
      <c r="L83" s="4" t="s">
        <v>350</v>
      </c>
      <c r="M83" s="2" t="s">
        <v>27</v>
      </c>
      <c r="N83" s="2"/>
      <c r="O83" s="2" t="s">
        <v>60</v>
      </c>
      <c r="P83" s="4" t="s">
        <v>373</v>
      </c>
      <c r="Q83" s="6" t="s">
        <v>30</v>
      </c>
    </row>
    <row r="84" customFormat="false" ht="15" hidden="false" customHeight="false" outlineLevel="0" collapsed="false">
      <c r="A84" s="2" t="n">
        <v>83</v>
      </c>
      <c r="B84" s="3" t="s">
        <v>374</v>
      </c>
      <c r="C84" s="2" t="s">
        <v>375</v>
      </c>
      <c r="D84" s="4" t="s">
        <v>347</v>
      </c>
      <c r="E84" s="4" t="s">
        <v>20</v>
      </c>
      <c r="F84" s="4" t="s">
        <v>33</v>
      </c>
      <c r="G84" s="5" t="n">
        <v>8.3</v>
      </c>
      <c r="H84" s="2" t="s">
        <v>376</v>
      </c>
      <c r="I84" s="4" t="s">
        <v>23</v>
      </c>
      <c r="J84" s="4" t="s">
        <v>96</v>
      </c>
      <c r="K84" s="4" t="s">
        <v>37</v>
      </c>
      <c r="L84" s="4" t="s">
        <v>350</v>
      </c>
      <c r="M84" s="2" t="s">
        <v>27</v>
      </c>
      <c r="N84" s="2"/>
      <c r="O84" s="2" t="s">
        <v>60</v>
      </c>
      <c r="P84" s="4" t="s">
        <v>377</v>
      </c>
      <c r="Q84" s="6" t="s">
        <v>30</v>
      </c>
    </row>
    <row r="85" customFormat="false" ht="23.85" hidden="false" customHeight="false" outlineLevel="0" collapsed="false">
      <c r="A85" s="2" t="n">
        <v>84</v>
      </c>
      <c r="B85" s="3" t="s">
        <v>378</v>
      </c>
      <c r="C85" s="2" t="s">
        <v>379</v>
      </c>
      <c r="D85" s="4" t="s">
        <v>347</v>
      </c>
      <c r="E85" s="4" t="s">
        <v>20</v>
      </c>
      <c r="F85" s="4" t="s">
        <v>348</v>
      </c>
      <c r="G85" s="5" t="n">
        <v>7.9</v>
      </c>
      <c r="H85" s="2" t="s">
        <v>380</v>
      </c>
      <c r="I85" s="4" t="s">
        <v>80</v>
      </c>
      <c r="J85" s="4" t="s">
        <v>65</v>
      </c>
      <c r="K85" s="4" t="s">
        <v>37</v>
      </c>
      <c r="L85" s="4" t="s">
        <v>350</v>
      </c>
      <c r="M85" s="2" t="s">
        <v>27</v>
      </c>
      <c r="N85" s="2"/>
      <c r="O85" s="2" t="s">
        <v>50</v>
      </c>
      <c r="P85" s="4" t="s">
        <v>381</v>
      </c>
      <c r="Q85" s="6" t="s">
        <v>30</v>
      </c>
    </row>
    <row r="86" customFormat="false" ht="15" hidden="false" customHeight="false" outlineLevel="0" collapsed="false">
      <c r="A86" s="2" t="n">
        <v>85</v>
      </c>
      <c r="B86" s="3" t="s">
        <v>382</v>
      </c>
      <c r="C86" s="2" t="s">
        <v>155</v>
      </c>
      <c r="D86" s="4" t="s">
        <v>347</v>
      </c>
      <c r="E86" s="4" t="s">
        <v>20</v>
      </c>
      <c r="F86" s="4" t="s">
        <v>64</v>
      </c>
      <c r="G86" s="5" t="n">
        <v>8</v>
      </c>
      <c r="H86" s="2" t="s">
        <v>383</v>
      </c>
      <c r="I86" s="4" t="s">
        <v>74</v>
      </c>
      <c r="J86" s="4" t="s">
        <v>75</v>
      </c>
      <c r="K86" s="4" t="s">
        <v>37</v>
      </c>
      <c r="L86" s="4" t="s">
        <v>350</v>
      </c>
      <c r="M86" s="2" t="s">
        <v>27</v>
      </c>
      <c r="N86" s="2"/>
      <c r="O86" s="2" t="s">
        <v>28</v>
      </c>
      <c r="P86" s="4" t="s">
        <v>228</v>
      </c>
      <c r="Q86" s="6" t="s">
        <v>30</v>
      </c>
    </row>
    <row r="87" customFormat="false" ht="15" hidden="false" customHeight="false" outlineLevel="0" collapsed="false">
      <c r="A87" s="2" t="n">
        <v>86</v>
      </c>
      <c r="B87" s="3" t="s">
        <v>384</v>
      </c>
      <c r="C87" s="2" t="s">
        <v>346</v>
      </c>
      <c r="D87" s="4" t="s">
        <v>347</v>
      </c>
      <c r="E87" s="4" t="s">
        <v>20</v>
      </c>
      <c r="F87" s="4" t="s">
        <v>385</v>
      </c>
      <c r="G87" s="5" t="n">
        <v>8.4</v>
      </c>
      <c r="H87" s="2" t="s">
        <v>386</v>
      </c>
      <c r="I87" s="4" t="s">
        <v>23</v>
      </c>
      <c r="J87" s="4" t="s">
        <v>58</v>
      </c>
      <c r="K87" s="4" t="s">
        <v>37</v>
      </c>
      <c r="L87" s="4" t="s">
        <v>350</v>
      </c>
      <c r="M87" s="2" t="s">
        <v>27</v>
      </c>
      <c r="N87" s="2"/>
      <c r="O87" s="2" t="s">
        <v>28</v>
      </c>
      <c r="P87" s="4" t="s">
        <v>387</v>
      </c>
      <c r="Q87" s="6" t="s">
        <v>30</v>
      </c>
    </row>
    <row r="88" customFormat="false" ht="15" hidden="false" customHeight="false" outlineLevel="0" collapsed="false">
      <c r="A88" s="2" t="n">
        <v>87</v>
      </c>
      <c r="B88" s="3" t="s">
        <v>388</v>
      </c>
      <c r="C88" s="2" t="s">
        <v>389</v>
      </c>
      <c r="D88" s="4" t="s">
        <v>347</v>
      </c>
      <c r="E88" s="4" t="s">
        <v>20</v>
      </c>
      <c r="F88" s="4" t="s">
        <v>390</v>
      </c>
      <c r="G88" s="5" t="n">
        <v>8</v>
      </c>
      <c r="H88" s="2" t="s">
        <v>391</v>
      </c>
      <c r="I88" s="4" t="s">
        <v>80</v>
      </c>
      <c r="J88" s="4" t="s">
        <v>75</v>
      </c>
      <c r="K88" s="4" t="s">
        <v>37</v>
      </c>
      <c r="L88" s="4" t="s">
        <v>350</v>
      </c>
      <c r="M88" s="2" t="s">
        <v>27</v>
      </c>
      <c r="N88" s="2"/>
      <c r="O88" s="2" t="s">
        <v>60</v>
      </c>
      <c r="P88" s="4" t="s">
        <v>392</v>
      </c>
      <c r="Q88" s="6" t="s">
        <v>30</v>
      </c>
    </row>
    <row r="89" customFormat="false" ht="15" hidden="false" customHeight="false" outlineLevel="0" collapsed="false">
      <c r="A89" s="2" t="n">
        <v>88</v>
      </c>
      <c r="B89" s="3" t="s">
        <v>393</v>
      </c>
      <c r="C89" s="2" t="s">
        <v>394</v>
      </c>
      <c r="D89" s="4" t="s">
        <v>347</v>
      </c>
      <c r="E89" s="4" t="s">
        <v>20</v>
      </c>
      <c r="F89" s="4" t="s">
        <v>395</v>
      </c>
      <c r="G89" s="5" t="n">
        <v>8.4</v>
      </c>
      <c r="H89" s="2" t="s">
        <v>396</v>
      </c>
      <c r="I89" s="4" t="s">
        <v>126</v>
      </c>
      <c r="J89" s="4" t="s">
        <v>96</v>
      </c>
      <c r="K89" s="4" t="s">
        <v>37</v>
      </c>
      <c r="L89" s="4" t="s">
        <v>350</v>
      </c>
      <c r="M89" s="2" t="s">
        <v>27</v>
      </c>
      <c r="N89" s="2"/>
      <c r="O89" s="2" t="s">
        <v>28</v>
      </c>
      <c r="P89" s="4"/>
      <c r="Q89" s="6" t="s">
        <v>30</v>
      </c>
    </row>
    <row r="90" customFormat="false" ht="15" hidden="false" customHeight="false" outlineLevel="0" collapsed="false">
      <c r="A90" s="2" t="n">
        <v>89</v>
      </c>
      <c r="B90" s="3" t="s">
        <v>397</v>
      </c>
      <c r="C90" s="2" t="s">
        <v>398</v>
      </c>
      <c r="D90" s="4" t="s">
        <v>347</v>
      </c>
      <c r="E90" s="4" t="s">
        <v>20</v>
      </c>
      <c r="F90" s="4" t="s">
        <v>367</v>
      </c>
      <c r="G90" s="5" t="n">
        <v>9.3</v>
      </c>
      <c r="H90" s="2" t="s">
        <v>399</v>
      </c>
      <c r="I90" s="4" t="s">
        <v>126</v>
      </c>
      <c r="J90" s="4" t="s">
        <v>96</v>
      </c>
      <c r="K90" s="4" t="s">
        <v>37</v>
      </c>
      <c r="L90" s="4" t="s">
        <v>350</v>
      </c>
      <c r="M90" s="2" t="s">
        <v>27</v>
      </c>
      <c r="N90" s="2"/>
      <c r="O90" s="2" t="s">
        <v>28</v>
      </c>
      <c r="P90" s="4" t="s">
        <v>400</v>
      </c>
      <c r="Q90" s="6" t="s">
        <v>30</v>
      </c>
    </row>
    <row r="91" customFormat="false" ht="23.85" hidden="false" customHeight="false" outlineLevel="0" collapsed="false">
      <c r="A91" s="2" t="n">
        <v>90</v>
      </c>
      <c r="B91" s="3" t="s">
        <v>401</v>
      </c>
      <c r="C91" s="2" t="s">
        <v>402</v>
      </c>
      <c r="D91" s="4" t="s">
        <v>347</v>
      </c>
      <c r="E91" s="4" t="s">
        <v>403</v>
      </c>
      <c r="F91" s="4" t="s">
        <v>348</v>
      </c>
      <c r="G91" s="5" t="n">
        <v>8.3</v>
      </c>
      <c r="H91" s="2" t="s">
        <v>404</v>
      </c>
      <c r="I91" s="4" t="s">
        <v>80</v>
      </c>
      <c r="J91" s="4" t="s">
        <v>75</v>
      </c>
      <c r="K91" s="4" t="s">
        <v>37</v>
      </c>
      <c r="L91" s="4" t="s">
        <v>350</v>
      </c>
      <c r="M91" s="2" t="s">
        <v>27</v>
      </c>
      <c r="N91" s="2"/>
      <c r="O91" s="2" t="s">
        <v>50</v>
      </c>
      <c r="P91" s="4" t="s">
        <v>405</v>
      </c>
      <c r="Q91" s="6" t="s">
        <v>30</v>
      </c>
    </row>
    <row r="92" customFormat="false" ht="23.85" hidden="false" customHeight="false" outlineLevel="0" collapsed="false">
      <c r="A92" s="2" t="n">
        <v>91</v>
      </c>
      <c r="B92" s="3" t="s">
        <v>406</v>
      </c>
      <c r="C92" s="2" t="s">
        <v>106</v>
      </c>
      <c r="D92" s="4" t="s">
        <v>407</v>
      </c>
      <c r="E92" s="4" t="s">
        <v>20</v>
      </c>
      <c r="F92" s="4" t="s">
        <v>33</v>
      </c>
      <c r="G92" s="5" t="n">
        <v>7.7</v>
      </c>
      <c r="H92" s="2" t="s">
        <v>408</v>
      </c>
      <c r="I92" s="4" t="s">
        <v>23</v>
      </c>
      <c r="J92" s="4" t="s">
        <v>24</v>
      </c>
      <c r="K92" s="4" t="s">
        <v>103</v>
      </c>
      <c r="L92" s="4" t="s">
        <v>350</v>
      </c>
      <c r="M92" s="2" t="s">
        <v>27</v>
      </c>
      <c r="N92" s="2"/>
      <c r="O92" s="2" t="s">
        <v>28</v>
      </c>
      <c r="P92" s="4" t="s">
        <v>409</v>
      </c>
      <c r="Q92" s="6" t="s">
        <v>30</v>
      </c>
    </row>
    <row r="93" customFormat="false" ht="23.85" hidden="false" customHeight="false" outlineLevel="0" collapsed="false">
      <c r="A93" s="2" t="n">
        <v>92</v>
      </c>
      <c r="B93" s="3" t="s">
        <v>410</v>
      </c>
      <c r="C93" s="2" t="s">
        <v>43</v>
      </c>
      <c r="D93" s="4" t="s">
        <v>407</v>
      </c>
      <c r="E93" s="4" t="s">
        <v>20</v>
      </c>
      <c r="F93" s="4" t="s">
        <v>354</v>
      </c>
      <c r="G93" s="5" t="n">
        <v>6.2</v>
      </c>
      <c r="H93" s="2" t="s">
        <v>411</v>
      </c>
      <c r="I93" s="4" t="s">
        <v>23</v>
      </c>
      <c r="J93" s="4" t="s">
        <v>24</v>
      </c>
      <c r="K93" s="4" t="s">
        <v>25</v>
      </c>
      <c r="L93" s="4" t="s">
        <v>350</v>
      </c>
      <c r="M93" s="2" t="s">
        <v>27</v>
      </c>
      <c r="N93" s="2"/>
      <c r="O93" s="2" t="s">
        <v>28</v>
      </c>
      <c r="P93" s="4" t="s">
        <v>412</v>
      </c>
      <c r="Q93" s="6" t="s">
        <v>30</v>
      </c>
    </row>
    <row r="94" customFormat="false" ht="15" hidden="false" customHeight="false" outlineLevel="0" collapsed="false">
      <c r="A94" s="2" t="n">
        <v>93</v>
      </c>
      <c r="B94" s="3" t="s">
        <v>413</v>
      </c>
      <c r="C94" s="2" t="s">
        <v>414</v>
      </c>
      <c r="D94" s="4" t="s">
        <v>347</v>
      </c>
      <c r="E94" s="4" t="s">
        <v>20</v>
      </c>
      <c r="F94" s="4" t="s">
        <v>69</v>
      </c>
      <c r="G94" s="5" t="n">
        <v>8.4</v>
      </c>
      <c r="H94" s="2" t="s">
        <v>415</v>
      </c>
      <c r="I94" s="4" t="s">
        <v>23</v>
      </c>
      <c r="J94" s="4" t="s">
        <v>141</v>
      </c>
      <c r="K94" s="4" t="s">
        <v>37</v>
      </c>
      <c r="L94" s="4" t="s">
        <v>350</v>
      </c>
      <c r="M94" s="2" t="s">
        <v>27</v>
      </c>
      <c r="N94" s="2"/>
      <c r="O94" s="2" t="s">
        <v>28</v>
      </c>
      <c r="P94" s="4" t="s">
        <v>416</v>
      </c>
      <c r="Q94" s="6" t="s">
        <v>30</v>
      </c>
    </row>
    <row r="95" customFormat="false" ht="15" hidden="false" customHeight="false" outlineLevel="0" collapsed="false">
      <c r="A95" s="2" t="n">
        <v>94</v>
      </c>
      <c r="B95" s="3" t="s">
        <v>417</v>
      </c>
      <c r="C95" s="2" t="s">
        <v>418</v>
      </c>
      <c r="D95" s="4" t="s">
        <v>347</v>
      </c>
      <c r="E95" s="4" t="s">
        <v>20</v>
      </c>
      <c r="F95" s="4" t="s">
        <v>419</v>
      </c>
      <c r="G95" s="5" t="n">
        <v>8.5</v>
      </c>
      <c r="H95" s="2" t="s">
        <v>420</v>
      </c>
      <c r="I95" s="4" t="s">
        <v>23</v>
      </c>
      <c r="J95" s="4" t="s">
        <v>65</v>
      </c>
      <c r="K95" s="4" t="s">
        <v>37</v>
      </c>
      <c r="L95" s="4" t="s">
        <v>350</v>
      </c>
      <c r="M95" s="2" t="s">
        <v>27</v>
      </c>
      <c r="N95" s="2"/>
      <c r="O95" s="2" t="s">
        <v>60</v>
      </c>
      <c r="P95" s="4" t="s">
        <v>421</v>
      </c>
      <c r="Q95" s="6" t="s">
        <v>30</v>
      </c>
    </row>
    <row r="96" customFormat="false" ht="15" hidden="false" customHeight="false" outlineLevel="0" collapsed="false">
      <c r="A96" s="2" t="n">
        <v>95</v>
      </c>
      <c r="B96" s="3" t="s">
        <v>422</v>
      </c>
      <c r="C96" s="2" t="s">
        <v>423</v>
      </c>
      <c r="D96" s="4" t="s">
        <v>347</v>
      </c>
      <c r="E96" s="4" t="s">
        <v>20</v>
      </c>
      <c r="F96" s="4" t="s">
        <v>348</v>
      </c>
      <c r="G96" s="5" t="n">
        <v>8.4</v>
      </c>
      <c r="H96" s="2" t="s">
        <v>424</v>
      </c>
      <c r="I96" s="4" t="s">
        <v>23</v>
      </c>
      <c r="J96" s="4" t="s">
        <v>24</v>
      </c>
      <c r="K96" s="4" t="s">
        <v>37</v>
      </c>
      <c r="L96" s="4" t="s">
        <v>350</v>
      </c>
      <c r="M96" s="2" t="s">
        <v>27</v>
      </c>
      <c r="N96" s="2"/>
      <c r="O96" s="2" t="s">
        <v>28</v>
      </c>
      <c r="P96" s="4"/>
      <c r="Q96" s="6" t="s">
        <v>30</v>
      </c>
    </row>
    <row r="97" customFormat="false" ht="15" hidden="false" customHeight="false" outlineLevel="0" collapsed="false">
      <c r="A97" s="2" t="n">
        <v>96</v>
      </c>
      <c r="B97" s="3" t="s">
        <v>425</v>
      </c>
      <c r="C97" s="2" t="s">
        <v>379</v>
      </c>
      <c r="D97" s="4" t="s">
        <v>347</v>
      </c>
      <c r="E97" s="4" t="s">
        <v>20</v>
      </c>
      <c r="F97" s="4" t="s">
        <v>354</v>
      </c>
      <c r="G97" s="5" t="n">
        <v>7.4</v>
      </c>
      <c r="H97" s="2" t="s">
        <v>426</v>
      </c>
      <c r="I97" s="4" t="s">
        <v>80</v>
      </c>
      <c r="J97" s="4" t="s">
        <v>75</v>
      </c>
      <c r="K97" s="4" t="s">
        <v>37</v>
      </c>
      <c r="L97" s="4" t="s">
        <v>350</v>
      </c>
      <c r="M97" s="2" t="s">
        <v>27</v>
      </c>
      <c r="N97" s="2"/>
      <c r="O97" s="2" t="s">
        <v>60</v>
      </c>
      <c r="P97" s="4" t="s">
        <v>427</v>
      </c>
      <c r="Q97" s="6" t="s">
        <v>30</v>
      </c>
    </row>
    <row r="98" customFormat="false" ht="23.85" hidden="false" customHeight="false" outlineLevel="0" collapsed="false">
      <c r="A98" s="2" t="n">
        <v>97</v>
      </c>
      <c r="B98" s="3" t="s">
        <v>428</v>
      </c>
      <c r="C98" s="2" t="s">
        <v>429</v>
      </c>
      <c r="D98" s="4" t="s">
        <v>347</v>
      </c>
      <c r="E98" s="4" t="s">
        <v>222</v>
      </c>
      <c r="F98" s="4" t="s">
        <v>430</v>
      </c>
      <c r="G98" s="5" t="n">
        <v>8.3</v>
      </c>
      <c r="H98" s="2" t="s">
        <v>223</v>
      </c>
      <c r="I98" s="4" t="s">
        <v>74</v>
      </c>
      <c r="J98" s="4" t="s">
        <v>75</v>
      </c>
      <c r="K98" s="4" t="s">
        <v>37</v>
      </c>
      <c r="L98" s="4" t="s">
        <v>350</v>
      </c>
      <c r="M98" s="2" t="s">
        <v>27</v>
      </c>
      <c r="N98" s="2"/>
      <c r="O98" s="2" t="s">
        <v>28</v>
      </c>
      <c r="P98" s="4" t="s">
        <v>431</v>
      </c>
      <c r="Q98" s="6" t="s">
        <v>30</v>
      </c>
    </row>
    <row r="99" customFormat="false" ht="15" hidden="false" customHeight="false" outlineLevel="0" collapsed="false">
      <c r="A99" s="2" t="n">
        <v>98</v>
      </c>
      <c r="B99" s="3" t="s">
        <v>432</v>
      </c>
      <c r="C99" s="2" t="s">
        <v>433</v>
      </c>
      <c r="D99" s="4" t="s">
        <v>347</v>
      </c>
      <c r="E99" s="4" t="s">
        <v>20</v>
      </c>
      <c r="F99" s="4" t="s">
        <v>79</v>
      </c>
      <c r="G99" s="5" t="n">
        <v>7.5</v>
      </c>
      <c r="H99" s="2" t="s">
        <v>434</v>
      </c>
      <c r="I99" s="4" t="s">
        <v>80</v>
      </c>
      <c r="J99" s="4" t="s">
        <v>75</v>
      </c>
      <c r="K99" s="4" t="s">
        <v>37</v>
      </c>
      <c r="L99" s="4" t="s">
        <v>350</v>
      </c>
      <c r="M99" s="2" t="s">
        <v>27</v>
      </c>
      <c r="N99" s="2"/>
      <c r="O99" s="2" t="s">
        <v>28</v>
      </c>
      <c r="P99" s="4" t="s">
        <v>392</v>
      </c>
      <c r="Q99" s="6" t="s">
        <v>30</v>
      </c>
    </row>
    <row r="100" customFormat="false" ht="15" hidden="false" customHeight="false" outlineLevel="0" collapsed="false">
      <c r="A100" s="2" t="n">
        <v>99</v>
      </c>
      <c r="B100" s="3" t="s">
        <v>435</v>
      </c>
      <c r="C100" s="2" t="s">
        <v>436</v>
      </c>
      <c r="D100" s="4" t="s">
        <v>347</v>
      </c>
      <c r="E100" s="4" t="s">
        <v>20</v>
      </c>
      <c r="F100" s="4" t="s">
        <v>21</v>
      </c>
      <c r="G100" s="5" t="n">
        <v>7.5</v>
      </c>
      <c r="H100" s="2" t="s">
        <v>437</v>
      </c>
      <c r="I100" s="4" t="s">
        <v>126</v>
      </c>
      <c r="J100" s="4" t="s">
        <v>24</v>
      </c>
      <c r="K100" s="4" t="s">
        <v>37</v>
      </c>
      <c r="L100" s="4" t="s">
        <v>350</v>
      </c>
      <c r="M100" s="2" t="s">
        <v>27</v>
      </c>
      <c r="N100" s="2"/>
      <c r="O100" s="2" t="s">
        <v>28</v>
      </c>
      <c r="P100" s="4" t="s">
        <v>438</v>
      </c>
      <c r="Q100" s="6" t="s">
        <v>30</v>
      </c>
    </row>
    <row r="101" customFormat="false" ht="15" hidden="false" customHeight="false" outlineLevel="0" collapsed="false">
      <c r="A101" s="2" t="n">
        <v>100</v>
      </c>
      <c r="B101" s="3" t="s">
        <v>439</v>
      </c>
      <c r="C101" s="2" t="s">
        <v>440</v>
      </c>
      <c r="D101" s="4" t="s">
        <v>347</v>
      </c>
      <c r="E101" s="4" t="s">
        <v>441</v>
      </c>
      <c r="F101" s="4" t="s">
        <v>442</v>
      </c>
      <c r="G101" s="5" t="n">
        <v>8.7</v>
      </c>
      <c r="H101" s="2" t="s">
        <v>443</v>
      </c>
      <c r="I101" s="4" t="s">
        <v>74</v>
      </c>
      <c r="J101" s="4" t="s">
        <v>75</v>
      </c>
      <c r="K101" s="4" t="s">
        <v>37</v>
      </c>
      <c r="L101" s="4" t="s">
        <v>350</v>
      </c>
      <c r="M101" s="2" t="s">
        <v>27</v>
      </c>
      <c r="N101" s="2"/>
      <c r="O101" s="2" t="s">
        <v>28</v>
      </c>
      <c r="P101" s="4" t="s">
        <v>444</v>
      </c>
      <c r="Q101" s="6" t="s">
        <v>30</v>
      </c>
    </row>
    <row r="102" customFormat="false" ht="15" hidden="false" customHeight="false" outlineLevel="0" collapsed="false">
      <c r="A102" s="2" t="n">
        <v>101</v>
      </c>
      <c r="B102" s="3" t="s">
        <v>445</v>
      </c>
      <c r="C102" s="2" t="s">
        <v>446</v>
      </c>
      <c r="D102" s="4" t="s">
        <v>347</v>
      </c>
      <c r="E102" s="4" t="s">
        <v>20</v>
      </c>
      <c r="F102" s="4" t="s">
        <v>156</v>
      </c>
      <c r="G102" s="5" t="n">
        <v>8.6</v>
      </c>
      <c r="H102" s="2" t="s">
        <v>41</v>
      </c>
      <c r="I102" s="4" t="s">
        <v>80</v>
      </c>
      <c r="J102" s="4" t="s">
        <v>75</v>
      </c>
      <c r="K102" s="4" t="s">
        <v>37</v>
      </c>
      <c r="L102" s="4" t="s">
        <v>350</v>
      </c>
      <c r="M102" s="2" t="s">
        <v>27</v>
      </c>
      <c r="N102" s="2"/>
      <c r="O102" s="2" t="s">
        <v>60</v>
      </c>
      <c r="P102" s="4" t="s">
        <v>447</v>
      </c>
      <c r="Q102" s="6" t="s">
        <v>30</v>
      </c>
    </row>
  </sheetData>
  <autoFilter ref="A1:Q102"/>
  <conditionalFormatting sqref="I2:I102">
    <cfRule type="expression" priority="2" aboveAverage="0" equalAverage="0" bottom="0" percent="0" rank="0" text="" dxfId="16">
      <formula>LEFT($I2,3)="Yes"</formula>
    </cfRule>
    <cfRule type="expression" priority="3" aboveAverage="0" equalAverage="0" bottom="0" percent="0" rank="0" text="" dxfId="17">
      <formula>$I2="Likely"</formula>
    </cfRule>
    <cfRule type="expression" priority="4" aboveAverage="0" equalAverage="0" bottom="0" percent="0" rank="0" text="" dxfId="18">
      <formula>$I2="Unconfirmed"</formula>
    </cfRule>
    <cfRule type="expression" priority="5" aboveAverage="0" equalAverage="0" bottom="0" percent="0" rank="0" text="" dxfId="19">
      <formula>LEFT($I2,2)="No"</formula>
    </cfRule>
  </conditionalFormatting>
  <conditionalFormatting sqref="O2:O102">
    <cfRule type="expression" priority="6" aboveAverage="0" equalAverage="0" bottom="0" percent="0" rank="0" text="" dxfId="16">
      <formula>$O2="High"</formula>
    </cfRule>
    <cfRule type="expression" priority="7" aboveAverage="0" equalAverage="0" bottom="0" percent="0" rank="0" text="" dxfId="20">
      <formula>$O2="Medium"</formula>
    </cfRule>
    <cfRule type="expression" priority="8" aboveAverage="0" equalAverage="0" bottom="0" percent="0" rank="0" text="" dxfId="21">
      <formula>$O2="Low"</formula>
    </cfRule>
  </conditionalFormatting>
  <conditionalFormatting sqref="A2:P102">
    <cfRule type="expression" priority="9" aboveAverage="0" equalAverage="0" bottom="0" percent="0" rank="0" text="" dxfId="22">
      <formula>$M2="Watched"</formula>
    </cfRule>
  </conditionalFormatting>
  <dataValidations count="3">
    <dataValidation allowBlank="true" errorStyle="stop" operator="between" showDropDown="false" showErrorMessage="false" showInputMessage="false" sqref="M2:M102" type="list">
      <formula1>"Not watched,Watching,Watched,Unavailable"</formula1>
      <formula2>0</formula2>
    </dataValidation>
    <dataValidation allowBlank="true" errorStyle="stop" operator="between" showDropDown="false" showErrorMessage="false" showInputMessage="false" sqref="O2:O102" type="list">
      <formula1>"High,Medium,Low,—"</formula1>
      <formula2>0</formula2>
    </dataValidation>
    <dataValidation allowBlank="true" errorStyle="stop" operator="between" showDropDown="false" showErrorMessage="false" showInputMessage="false" sqref="N2:N102" type="decimal">
      <formula1>0</formula1>
      <formula2>10</formula2>
    </dataValidation>
  </dataValidations>
  <hyperlinks>
    <hyperlink ref="Q2" r:id="rId1" display="JustWatch"/>
    <hyperlink ref="Q3" r:id="rId2" display="JustWatch"/>
    <hyperlink ref="Q4" r:id="rId3" display="JustWatch"/>
    <hyperlink ref="Q5" r:id="rId4" display="JustWatch"/>
    <hyperlink ref="Q6" r:id="rId5" display="JustWatch"/>
    <hyperlink ref="Q7" r:id="rId6" display="JustWatch"/>
    <hyperlink ref="Q8" r:id="rId7" display="JustWatch"/>
    <hyperlink ref="Q9" r:id="rId8" display="JustWatch"/>
    <hyperlink ref="Q10" r:id="rId9" display="JustWatch"/>
    <hyperlink ref="Q11" r:id="rId10" display="JustWatch"/>
    <hyperlink ref="Q12" r:id="rId11" display="JustWatch"/>
    <hyperlink ref="Q13" r:id="rId12" display="JustWatch"/>
    <hyperlink ref="Q14" r:id="rId13" display="JustWatch"/>
    <hyperlink ref="Q15" r:id="rId14" display="JustWatch"/>
    <hyperlink ref="Q16" r:id="rId15" display="JustWatch"/>
    <hyperlink ref="Q17" r:id="rId16" display="JustWatch"/>
    <hyperlink ref="Q18" r:id="rId17" display="JustWatch"/>
    <hyperlink ref="Q19" r:id="rId18" display="JustWatch"/>
    <hyperlink ref="Q20" r:id="rId19" display="JustWatch"/>
    <hyperlink ref="Q21" r:id="rId20" display="JustWatch"/>
    <hyperlink ref="Q22" r:id="rId21" display="JustWatch"/>
    <hyperlink ref="Q23" r:id="rId22" display="JustWatch"/>
    <hyperlink ref="Q24" r:id="rId23" display="JustWatch"/>
    <hyperlink ref="Q25" r:id="rId24" display="JustWatch"/>
    <hyperlink ref="Q26" r:id="rId25" display="JustWatch"/>
    <hyperlink ref="Q27" r:id="rId26" display="JustWatch"/>
    <hyperlink ref="Q28" r:id="rId27" display="JustWatch"/>
    <hyperlink ref="Q29" r:id="rId28" display="JustWatch"/>
    <hyperlink ref="Q30" r:id="rId29" display="JustWatch"/>
    <hyperlink ref="Q31" r:id="rId30" display="JustWatch"/>
    <hyperlink ref="Q32" r:id="rId31" display="JustWatch"/>
    <hyperlink ref="Q33" r:id="rId32" display="JustWatch"/>
    <hyperlink ref="Q34" r:id="rId33" display="JustWatch"/>
    <hyperlink ref="Q35" r:id="rId34" display="JustWatch"/>
    <hyperlink ref="Q36" r:id="rId35" display="JustWatch"/>
    <hyperlink ref="Q37" r:id="rId36" display="JustWatch"/>
    <hyperlink ref="Q38" r:id="rId37" display="JustWatch"/>
    <hyperlink ref="Q39" r:id="rId38" display="JustWatch"/>
    <hyperlink ref="Q40" r:id="rId39" display="JustWatch"/>
    <hyperlink ref="Q41" r:id="rId40" display="JustWatch"/>
    <hyperlink ref="Q42" r:id="rId41" display="JustWatch"/>
    <hyperlink ref="Q43" r:id="rId42" display="JustWatch"/>
    <hyperlink ref="Q44" r:id="rId43" display="JustWatch"/>
    <hyperlink ref="Q45" r:id="rId44" display="JustWatch"/>
    <hyperlink ref="Q46" r:id="rId45" display="JustWatch"/>
    <hyperlink ref="Q47" r:id="rId46" display="JustWatch"/>
    <hyperlink ref="Q48" r:id="rId47" display="JustWatch"/>
    <hyperlink ref="Q49" r:id="rId48" display="JustWatch"/>
    <hyperlink ref="Q50" r:id="rId49" display="JustWatch"/>
    <hyperlink ref="Q51" r:id="rId50" display="JustWatch"/>
    <hyperlink ref="Q52" r:id="rId51" display="JustWatch"/>
    <hyperlink ref="Q53" r:id="rId52" display="JustWatch"/>
    <hyperlink ref="Q54" r:id="rId53" display="JustWatch"/>
    <hyperlink ref="Q55" r:id="rId54" display="JustWatch"/>
    <hyperlink ref="Q56" r:id="rId55" display="JustWatch"/>
    <hyperlink ref="Q57" r:id="rId56" display="JustWatch"/>
    <hyperlink ref="Q58" r:id="rId57" display="JustWatch"/>
    <hyperlink ref="Q59" r:id="rId58" display="JustWatch"/>
    <hyperlink ref="Q60" r:id="rId59" display="JustWatch"/>
    <hyperlink ref="Q61" r:id="rId60" display="JustWatch"/>
    <hyperlink ref="Q62" r:id="rId61" display="JustWatch"/>
    <hyperlink ref="Q63" r:id="rId62" display="JustWatch"/>
    <hyperlink ref="Q64" r:id="rId63" display="JustWatch"/>
    <hyperlink ref="Q65" r:id="rId64" display="JustWatch"/>
    <hyperlink ref="Q66" r:id="rId65" display="JustWatch"/>
    <hyperlink ref="Q67" r:id="rId66" display="JustWatch"/>
    <hyperlink ref="Q68" r:id="rId67" display="JustWatch"/>
    <hyperlink ref="Q69" r:id="rId68" display="JustWatch"/>
    <hyperlink ref="Q70" r:id="rId69" display="JustWatch"/>
    <hyperlink ref="Q71" r:id="rId70" display="JustWatch"/>
    <hyperlink ref="Q72" r:id="rId71" display="JustWatch"/>
    <hyperlink ref="Q73" r:id="rId72" display="JustWatch"/>
    <hyperlink ref="Q74" r:id="rId73" display="JustWatch"/>
    <hyperlink ref="Q75" r:id="rId74" display="JustWatch"/>
    <hyperlink ref="Q76" r:id="rId75" display="JustWatch"/>
    <hyperlink ref="Q77" r:id="rId76" display="JustWatch"/>
    <hyperlink ref="Q78" r:id="rId77" display="JustWatch"/>
    <hyperlink ref="Q79" r:id="rId78" display="JustWatch"/>
    <hyperlink ref="Q80" r:id="rId79" display="Netflix"/>
    <hyperlink ref="Q81" r:id="rId80" display="JustWatch"/>
    <hyperlink ref="Q82" r:id="rId81" display="JustWatch"/>
    <hyperlink ref="Q83" r:id="rId82" display="JustWatch"/>
    <hyperlink ref="Q84" r:id="rId83" display="JustWatch"/>
    <hyperlink ref="Q85" r:id="rId84" display="JustWatch"/>
    <hyperlink ref="Q86" r:id="rId85" display="JustWatch"/>
    <hyperlink ref="Q87" r:id="rId86" display="JustWatch"/>
    <hyperlink ref="Q88" r:id="rId87" display="JustWatch"/>
    <hyperlink ref="Q89" r:id="rId88" display="JustWatch"/>
    <hyperlink ref="Q90" r:id="rId89" display="JustWatch"/>
    <hyperlink ref="Q91" r:id="rId90" display="JustWatch"/>
    <hyperlink ref="Q92" r:id="rId91" display="JustWatch"/>
    <hyperlink ref="Q93" r:id="rId92" display="JustWatch"/>
    <hyperlink ref="Q94" r:id="rId93" display="JustWatch"/>
    <hyperlink ref="Q95" r:id="rId94" display="JustWatch"/>
    <hyperlink ref="Q96" r:id="rId95" display="JustWatch"/>
    <hyperlink ref="Q97" r:id="rId96" display="JustWatch"/>
    <hyperlink ref="Q98" r:id="rId97" display="JustWatch"/>
    <hyperlink ref="Q99" r:id="rId98" display="JustWatch"/>
    <hyperlink ref="Q100" r:id="rId99" display="JustWatch"/>
    <hyperlink ref="Q101" r:id="rId100" display="JustWatch"/>
    <hyperlink ref="Q102" r:id="rId101" display="JustWat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7" t="s">
        <v>448</v>
      </c>
    </row>
    <row r="2" customFormat="false" ht="30" hidden="false" customHeight="true" outlineLevel="0" collapsed="false">
      <c r="A2" s="8" t="s">
        <v>449</v>
      </c>
      <c r="B2" s="8"/>
    </row>
    <row r="4" customFormat="false" ht="15" hidden="false" customHeight="false" outlineLevel="0" collapsed="false">
      <c r="A4" s="9" t="s">
        <v>8</v>
      </c>
    </row>
    <row r="5" customFormat="false" ht="23.85" hidden="false" customHeight="false" outlineLevel="0" collapsed="false">
      <c r="A5" s="10" t="s">
        <v>80</v>
      </c>
      <c r="B5" s="11" t="s">
        <v>450</v>
      </c>
    </row>
    <row r="6" customFormat="false" ht="15" hidden="false" customHeight="false" outlineLevel="0" collapsed="false">
      <c r="A6" s="10" t="s">
        <v>34</v>
      </c>
      <c r="B6" s="11" t="s">
        <v>451</v>
      </c>
    </row>
    <row r="7" customFormat="false" ht="23.85" hidden="false" customHeight="false" outlineLevel="0" collapsed="false">
      <c r="A7" s="10" t="s">
        <v>23</v>
      </c>
      <c r="B7" s="11" t="s">
        <v>452</v>
      </c>
    </row>
    <row r="8" customFormat="false" ht="15" hidden="false" customHeight="false" outlineLevel="0" collapsed="false">
      <c r="A8" s="10" t="s">
        <v>74</v>
      </c>
      <c r="B8" s="11" t="s">
        <v>453</v>
      </c>
    </row>
    <row r="9" customFormat="false" ht="15" hidden="false" customHeight="false" outlineLevel="0" collapsed="false">
      <c r="A9" s="10" t="s">
        <v>126</v>
      </c>
      <c r="B9" s="11" t="s">
        <v>454</v>
      </c>
    </row>
    <row r="11" customFormat="false" ht="15" hidden="false" customHeight="false" outlineLevel="0" collapsed="false">
      <c r="A11" s="9" t="s">
        <v>455</v>
      </c>
    </row>
    <row r="12" customFormat="false" ht="15" hidden="false" customHeight="false" outlineLevel="0" collapsed="false">
      <c r="A12" s="10" t="s">
        <v>456</v>
      </c>
      <c r="B12" s="11" t="s">
        <v>457</v>
      </c>
    </row>
    <row r="13" customFormat="false" ht="15" hidden="false" customHeight="false" outlineLevel="0" collapsed="false">
      <c r="A13" s="10" t="s">
        <v>9</v>
      </c>
      <c r="B13" s="11" t="s">
        <v>458</v>
      </c>
    </row>
    <row r="14" customFormat="false" ht="15" hidden="false" customHeight="false" outlineLevel="0" collapsed="false">
      <c r="A14" s="10" t="s">
        <v>10</v>
      </c>
      <c r="B14" s="11" t="s">
        <v>459</v>
      </c>
    </row>
    <row r="15" customFormat="false" ht="15" hidden="false" customHeight="false" outlineLevel="0" collapsed="false">
      <c r="A15" s="10" t="s">
        <v>11</v>
      </c>
      <c r="B15" s="11" t="s">
        <v>460</v>
      </c>
    </row>
    <row r="16" customFormat="false" ht="15" hidden="false" customHeight="false" outlineLevel="0" collapsed="false">
      <c r="A16" s="10" t="s">
        <v>461</v>
      </c>
      <c r="B16" s="11" t="s">
        <v>462</v>
      </c>
    </row>
    <row r="17" customFormat="false" ht="35.05" hidden="false" customHeight="false" outlineLevel="0" collapsed="false">
      <c r="A17" s="10" t="s">
        <v>14</v>
      </c>
      <c r="B17" s="11" t="s">
        <v>463</v>
      </c>
    </row>
    <row r="18" customFormat="false" ht="15" hidden="false" customHeight="false" outlineLevel="0" collapsed="false">
      <c r="A18" s="10" t="s">
        <v>464</v>
      </c>
      <c r="B18" s="11" t="s">
        <v>465</v>
      </c>
    </row>
    <row r="19" customFormat="false" ht="23.85" hidden="false" customHeight="false" outlineLevel="0" collapsed="false">
      <c r="A19" s="10" t="s">
        <v>16</v>
      </c>
      <c r="B19" s="11" t="s">
        <v>466</v>
      </c>
    </row>
    <row r="21" customFormat="false" ht="15" hidden="false" customHeight="false" outlineLevel="0" collapsed="false">
      <c r="A21" s="9" t="s">
        <v>467</v>
      </c>
    </row>
    <row r="22" customFormat="false" ht="15" hidden="false" customHeight="false" outlineLevel="0" collapsed="false">
      <c r="A22" s="11" t="s">
        <v>468</v>
      </c>
      <c r="B22" s="12" t="n">
        <f aca="false">COUNTA(Watchlist!$B$2:$B$102)</f>
        <v>101</v>
      </c>
    </row>
    <row r="23" customFormat="false" ht="15" hidden="false" customHeight="false" outlineLevel="0" collapsed="false">
      <c r="A23" s="11" t="s">
        <v>469</v>
      </c>
      <c r="B23" s="12" t="n">
        <f aca="false">COUNTIF(Watchlist!$I$2:$I$102,"Yes (verified)")</f>
        <v>16</v>
      </c>
    </row>
    <row r="24" customFormat="false" ht="15" hidden="false" customHeight="false" outlineLevel="0" collapsed="false">
      <c r="A24" s="11" t="s">
        <v>470</v>
      </c>
      <c r="B24" s="12" t="n">
        <f aca="false">COUNTIF(Watchlist!$I$2:$I$102,"Likely")</f>
        <v>15</v>
      </c>
    </row>
    <row r="25" customFormat="false" ht="15" hidden="false" customHeight="false" outlineLevel="0" collapsed="false">
      <c r="A25" s="11" t="s">
        <v>471</v>
      </c>
      <c r="B25" s="12" t="n">
        <f aca="false">COUNTIF(Watchlist!$I$2:$I$102,"Unconfirmed")</f>
        <v>36</v>
      </c>
    </row>
    <row r="26" customFormat="false" ht="15" hidden="false" customHeight="false" outlineLevel="0" collapsed="false">
      <c r="A26" s="11" t="s">
        <v>472</v>
      </c>
      <c r="B26" s="12" t="n">
        <f aca="false">COUNTIF(Watchlist!$I$2:$I$102,"No (verified)")</f>
        <v>7</v>
      </c>
    </row>
    <row r="27" customFormat="false" ht="15" hidden="false" customHeight="false" outlineLevel="0" collapsed="false">
      <c r="A27" s="11" t="s">
        <v>473</v>
      </c>
      <c r="B27" s="12" t="n">
        <f aca="false">COUNTIF(Watchlist!$I$2:$I$102,"No")</f>
        <v>27</v>
      </c>
    </row>
    <row r="28" customFormat="false" ht="15" hidden="false" customHeight="false" outlineLevel="0" collapsed="false">
      <c r="A28" s="11" t="s">
        <v>24</v>
      </c>
      <c r="B28" s="12" t="n">
        <f aca="false">COUNTIF(Watchlist!$J$2:$J$102,"Not streaming in India")</f>
        <v>42</v>
      </c>
    </row>
    <row r="29" customFormat="false" ht="15" hidden="false" customHeight="false" outlineLevel="0" collapsed="false">
      <c r="A29" s="11" t="s">
        <v>474</v>
      </c>
      <c r="B29" s="12" t="n">
        <f aca="false">COUNTIF(Watchlist!$O$2:$O$102,"High")</f>
        <v>14</v>
      </c>
    </row>
    <row r="30" customFormat="false" ht="15" hidden="false" customHeight="false" outlineLevel="0" collapsed="false">
      <c r="A30" s="11" t="s">
        <v>475</v>
      </c>
      <c r="B30" s="12" t="n">
        <f aca="false">COUNTIF(Watchlist!$O$2:$O$102,"Medium")</f>
        <v>19</v>
      </c>
    </row>
    <row r="31" customFormat="false" ht="15" hidden="false" customHeight="false" outlineLevel="0" collapsed="false">
      <c r="A31" s="11" t="s">
        <v>476</v>
      </c>
      <c r="B31" s="12" t="n">
        <f aca="false">COUNTIF(Watchlist!$M$2:$M$102,"Watched")</f>
        <v>8</v>
      </c>
    </row>
    <row r="33" customFormat="false" ht="26.85" hidden="false" customHeight="false" outlineLevel="0" collapsed="false">
      <c r="A33" s="9" t="s">
        <v>477</v>
      </c>
    </row>
    <row r="34" customFormat="false" ht="23.85" hidden="false" customHeight="false" outlineLevel="0" collapsed="false">
      <c r="A34" s="11" t="s">
        <v>26</v>
      </c>
      <c r="B34" s="12" t="n">
        <f aca="false">COUNTIF(Watchlist!$L$2:$L$102,"*Top 20 Hollywood*")</f>
        <v>20</v>
      </c>
    </row>
    <row r="35" customFormat="false" ht="15" hidden="false" customHeight="false" outlineLevel="0" collapsed="false">
      <c r="A35" s="11" t="s">
        <v>120</v>
      </c>
      <c r="B35" s="12" t="n">
        <f aca="false">COUNTIF(Watchlist!$L$2:$L$102,"*Alien Signals*")</f>
        <v>9</v>
      </c>
    </row>
    <row r="36" customFormat="false" ht="23.85" hidden="false" customHeight="false" outlineLevel="0" collapsed="false">
      <c r="A36" s="11" t="s">
        <v>164</v>
      </c>
      <c r="B36" s="12" t="n">
        <f aca="false">COUNTIF(Watchlist!$L$2:$L$102,"*Secret Societies*")</f>
        <v>12</v>
      </c>
    </row>
    <row r="37" customFormat="false" ht="23.85" hidden="false" customHeight="false" outlineLevel="0" collapsed="false">
      <c r="A37" s="11" t="s">
        <v>227</v>
      </c>
      <c r="B37" s="12" t="n">
        <f aca="false">COUNTIF(Watchlist!$L$2:$L$102,"*Twisty Mystery*")</f>
        <v>12</v>
      </c>
    </row>
    <row r="38" customFormat="false" ht="15" hidden="false" customHeight="false" outlineLevel="0" collapsed="false">
      <c r="A38" s="11" t="s">
        <v>262</v>
      </c>
      <c r="B38" s="12" t="n">
        <f aca="false">COUNTIF(Watchlist!$L$2:$L$102,"*Space Adventure*")</f>
        <v>9</v>
      </c>
    </row>
    <row r="39" customFormat="false" ht="15" hidden="false" customHeight="false" outlineLevel="0" collapsed="false">
      <c r="A39" s="11" t="s">
        <v>292</v>
      </c>
      <c r="B39" s="12" t="n">
        <f aca="false">COUNTIF(Watchlist!$L$2:$L$102,"*Underrated Mystery*")</f>
        <v>9</v>
      </c>
    </row>
    <row r="40" customFormat="false" ht="23.85" hidden="false" customHeight="false" outlineLevel="0" collapsed="false">
      <c r="A40" s="11" t="s">
        <v>310</v>
      </c>
      <c r="B40" s="12" t="n">
        <f aca="false">COUNTIF(Watchlist!$L$2:$L$102,"*Time Loops*")</f>
        <v>9</v>
      </c>
    </row>
    <row r="41" customFormat="false" ht="23.85" hidden="false" customHeight="false" outlineLevel="0" collapsed="false">
      <c r="A41" s="11" t="s">
        <v>343</v>
      </c>
      <c r="B41" s="12" t="n">
        <f aca="false">COUNTIF(Watchlist!$L$2:$L$102,"*South Mystery*")</f>
        <v>1</v>
      </c>
    </row>
    <row r="42" customFormat="false" ht="15" hidden="false" customHeight="false" outlineLevel="0" collapsed="false">
      <c r="A42" s="11" t="s">
        <v>350</v>
      </c>
      <c r="B42" s="12" t="n">
        <f aca="false">COUNTIF(Watchlist!$L$2:$L$102,"*Action Web Series*")</f>
        <v>25</v>
      </c>
    </row>
    <row r="44" customFormat="false" ht="15" hidden="false" customHeight="false" outlineLevel="0" collapsed="false">
      <c r="A44" s="9" t="s">
        <v>478</v>
      </c>
    </row>
    <row r="45" customFormat="false" ht="15" hidden="false" customHeight="false" outlineLevel="0" collapsed="false">
      <c r="A45" s="10" t="s">
        <v>479</v>
      </c>
      <c r="B45" s="11" t="s">
        <v>480</v>
      </c>
    </row>
    <row r="46" customFormat="false" ht="15" hidden="false" customHeight="false" outlineLevel="0" collapsed="false">
      <c r="A46" s="10" t="s">
        <v>481</v>
      </c>
      <c r="B46" s="11" t="s">
        <v>482</v>
      </c>
    </row>
    <row r="47" customFormat="false" ht="15" hidden="false" customHeight="false" outlineLevel="0" collapsed="false">
      <c r="A47" s="10" t="s">
        <v>483</v>
      </c>
      <c r="B47" s="11" t="s">
        <v>484</v>
      </c>
    </row>
    <row r="48" customFormat="false" ht="15" hidden="false" customHeight="false" outlineLevel="0" collapsed="false">
      <c r="A48" s="10" t="s">
        <v>485</v>
      </c>
      <c r="B48" s="11" t="s">
        <v>486</v>
      </c>
    </row>
    <row r="49" customFormat="false" ht="15" hidden="false" customHeight="false" outlineLevel="0" collapsed="false">
      <c r="A49" s="10" t="s">
        <v>487</v>
      </c>
      <c r="B49" s="11" t="s">
        <v>488</v>
      </c>
    </row>
    <row r="50" customFormat="false" ht="15" hidden="false" customHeight="false" outlineLevel="0" collapsed="false">
      <c r="A50" s="10" t="s">
        <v>338</v>
      </c>
      <c r="B50" s="11" t="s">
        <v>489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2026-10-28T07:06:19Z</dcterms:created>
  <dc:creator>openpyxl</dc:creator>
  <dc:description/>
  <dc:language>en-US</dc:language>
  <cp:lastModifiedBy/>
  <dcterms:modified xsi:type="dcterms:W3CDTF">2026-10-28T07:06:19Z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